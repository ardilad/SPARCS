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rdila/Dropbox (Personal)/SPARCS_Implementation/SPARCS_Shared/05. Payload/ETC/"/>
    </mc:Choice>
  </mc:AlternateContent>
  <xr:revisionPtr revIDLastSave="0" documentId="13_ncr:1_{10E2B30A-EE33-374D-981F-396795329593}" xr6:coauthVersionLast="36" xr6:coauthVersionMax="36" xr10:uidLastSave="{00000000-0000-0000-0000-000000000000}"/>
  <bookViews>
    <workbookView xWindow="0" yWindow="460" windowWidth="28800" windowHeight="17460" tabRatio="662" activeTab="2" xr2:uid="{00000000-000D-0000-FFFF-FFFF00000000}"/>
  </bookViews>
  <sheets>
    <sheet name="Change Log" sheetId="16" r:id="rId1"/>
    <sheet name="Photometric Model Allocations" sheetId="22" r:id="rId2"/>
    <sheet name="ETC First Principles" sheetId="10" r:id="rId3"/>
    <sheet name="Comparison Conservative-Aggresi" sheetId="26" r:id="rId4"/>
    <sheet name="Photograph" sheetId="23" r:id="rId5"/>
    <sheet name="Arbitrary Wavelength" sheetId="11" r:id="rId6"/>
    <sheet name="Templates" sheetId="17" r:id="rId7"/>
    <sheet name="Filter JPL 7-layer Aggressive 2" sheetId="20" r:id="rId8"/>
    <sheet name="Filter JPL 7-layer Conservative" sheetId="25" r:id="rId9"/>
    <sheet name="Filter Materion 280 20160217" sheetId="18" r:id="rId10"/>
    <sheet name="Detector 2017 01 24_v2" sheetId="19" r:id="rId11"/>
    <sheet name="Budgets" sheetId="21" r:id="rId12"/>
    <sheet name="Throughput" sheetId="12" r:id="rId13"/>
    <sheet name="Jitter vs. f#" sheetId="24" r:id="rId14"/>
  </sheets>
  <definedNames>
    <definedName name="delta_lam">'ETC First Principles'!$B$39</definedName>
    <definedName name="Eff_diam">'ETC First Principles'!$B$44</definedName>
    <definedName name="gal_fwhm_nuv">'ETC First Principles'!#REF!</definedName>
    <definedName name="galex_ap">'ETC First Principles'!#REF!</definedName>
    <definedName name="galex_fwhm_fuv">'ETC First Principles'!#REF!</definedName>
    <definedName name="Jit">'ETC First Principles'!$A$25</definedName>
    <definedName name="Jitter">'ETC First Principles'!$A$25</definedName>
    <definedName name="Jitter_jump_per_psf">'ETC First Principles'!$B$65</definedName>
    <definedName name="psf">'ETC First Principles'!#REF!</definedName>
    <definedName name="RN">'ETC First Principles'!$B$19</definedName>
  </definedNames>
  <calcPr calcId="162913" iterate="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9" i="10" l="1"/>
  <c r="B26" i="10" l="1"/>
  <c r="D53" i="10" l="1"/>
  <c r="E14" i="10" l="1"/>
  <c r="E12" i="10"/>
  <c r="E10" i="10"/>
  <c r="E8" i="10"/>
  <c r="D903" i="25" l="1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I155" i="10" l="1"/>
  <c r="H156" i="10"/>
  <c r="H155" i="10"/>
  <c r="H157" i="10"/>
  <c r="Q139" i="10"/>
  <c r="I139" i="10"/>
  <c r="E11" i="22" l="1"/>
  <c r="E5" i="12"/>
  <c r="E9" i="22"/>
  <c r="E8" i="22"/>
  <c r="E5" i="22"/>
  <c r="E4" i="22"/>
  <c r="B44" i="10"/>
  <c r="B49" i="10" s="1"/>
  <c r="D39" i="10" l="1"/>
  <c r="J139" i="10" s="1"/>
  <c r="B39" i="10" l="1"/>
  <c r="R139" i="10" s="1"/>
  <c r="E12" i="24" l="1"/>
  <c r="E10" i="24"/>
  <c r="D16" i="24"/>
  <c r="E16" i="24" s="1"/>
  <c r="D12" i="24"/>
  <c r="D10" i="24"/>
  <c r="D9" i="24"/>
  <c r="E9" i="24" s="1"/>
  <c r="D8" i="24"/>
  <c r="E8" i="24" s="1"/>
  <c r="C16" i="24"/>
  <c r="C15" i="24"/>
  <c r="D15" i="24" s="1"/>
  <c r="E15" i="24" s="1"/>
  <c r="C12" i="24"/>
  <c r="C10" i="24"/>
  <c r="C9" i="24"/>
  <c r="C8" i="24"/>
  <c r="C7" i="24"/>
  <c r="D7" i="24" s="1"/>
  <c r="E7" i="24" s="1"/>
  <c r="C4" i="24"/>
  <c r="D4" i="24" s="1"/>
  <c r="E4" i="24" s="1"/>
  <c r="C3" i="24"/>
  <c r="D3" i="24" s="1"/>
  <c r="E3" i="24" s="1"/>
  <c r="C2" i="24"/>
  <c r="D2" i="24" s="1"/>
  <c r="E2" i="24" s="1"/>
  <c r="B16" i="24"/>
  <c r="B15" i="24"/>
  <c r="B14" i="24"/>
  <c r="C14" i="24" s="1"/>
  <c r="D14" i="24" s="1"/>
  <c r="E14" i="24" s="1"/>
  <c r="B13" i="24"/>
  <c r="C13" i="24" s="1"/>
  <c r="D13" i="24" s="1"/>
  <c r="E13" i="24" s="1"/>
  <c r="B12" i="24"/>
  <c r="B10" i="24"/>
  <c r="B9" i="24"/>
  <c r="B8" i="24"/>
  <c r="B7" i="24"/>
  <c r="B6" i="24"/>
  <c r="C6" i="24" s="1"/>
  <c r="D6" i="24" s="1"/>
  <c r="E6" i="24" s="1"/>
  <c r="B5" i="24"/>
  <c r="C5" i="24" s="1"/>
  <c r="D5" i="24" s="1"/>
  <c r="E5" i="24" s="1"/>
  <c r="B4" i="24"/>
  <c r="B3" i="24"/>
  <c r="B2" i="24"/>
  <c r="B11" i="24"/>
  <c r="C11" i="24" s="1"/>
  <c r="D11" i="24" s="1"/>
  <c r="E11" i="24" s="1"/>
  <c r="E27" i="10" l="1"/>
  <c r="G5" i="21" l="1"/>
  <c r="E18" i="22" l="1"/>
  <c r="E17" i="22"/>
  <c r="E14" i="22"/>
  <c r="E13" i="22"/>
  <c r="E7" i="22"/>
  <c r="E6" i="22"/>
  <c r="E3" i="22"/>
  <c r="B19" i="10"/>
  <c r="B7" i="11"/>
  <c r="H48" i="11" s="1"/>
  <c r="G118" i="10" s="1"/>
  <c r="I118" i="10" s="1"/>
  <c r="J118" i="10" s="1"/>
  <c r="G13" i="11"/>
  <c r="F14" i="11"/>
  <c r="G4" i="21"/>
  <c r="F3" i="21"/>
  <c r="G2" i="21"/>
  <c r="A175" i="10"/>
  <c r="A176" i="10"/>
  <c r="A177" i="10" s="1"/>
  <c r="A178" i="10" s="1"/>
  <c r="A179" i="10" s="1"/>
  <c r="A180" i="10" s="1"/>
  <c r="A181" i="10" s="1"/>
  <c r="G140" i="10"/>
  <c r="I140" i="10" s="1"/>
  <c r="J140" i="10" s="1"/>
  <c r="D140" i="10"/>
  <c r="B82" i="10"/>
  <c r="B85" i="10"/>
  <c r="I135" i="10"/>
  <c r="J135" i="10" s="1"/>
  <c r="L135" i="10" s="1"/>
  <c r="B46" i="10"/>
  <c r="D5" i="12"/>
  <c r="D9" i="12"/>
  <c r="D16" i="12"/>
  <c r="B32" i="10"/>
  <c r="F52" i="11"/>
  <c r="D114" i="10"/>
  <c r="Q114" i="10" s="1"/>
  <c r="R114" i="10" s="1"/>
  <c r="Q135" i="10"/>
  <c r="R135" i="10" s="1"/>
  <c r="T135" i="10" s="1"/>
  <c r="G52" i="11"/>
  <c r="F51" i="11"/>
  <c r="Q106" i="10"/>
  <c r="R106" i="10" s="1"/>
  <c r="G51" i="11"/>
  <c r="F50" i="11"/>
  <c r="D99" i="10"/>
  <c r="Q99" i="10" s="1"/>
  <c r="R99" i="10" s="1"/>
  <c r="G50" i="11"/>
  <c r="F49" i="11"/>
  <c r="D103" i="10"/>
  <c r="Q103" i="10" s="1"/>
  <c r="R103" i="10" s="1"/>
  <c r="T103" i="10" s="1"/>
  <c r="G49" i="11"/>
  <c r="B88" i="10"/>
  <c r="F48" i="11"/>
  <c r="D118" i="10"/>
  <c r="Q118" i="10" s="1"/>
  <c r="R118" i="10" s="1"/>
  <c r="T118" i="10" s="1"/>
  <c r="G48" i="11"/>
  <c r="E47" i="11"/>
  <c r="G47" i="11"/>
  <c r="F47" i="11"/>
  <c r="E46" i="11"/>
  <c r="G46" i="11"/>
  <c r="F46" i="11"/>
  <c r="E45" i="11"/>
  <c r="G45" i="11"/>
  <c r="F45" i="11"/>
  <c r="D116" i="10"/>
  <c r="Q116" i="10" s="1"/>
  <c r="R116" i="10" s="1"/>
  <c r="T116" i="10" s="1"/>
  <c r="G44" i="11"/>
  <c r="F44" i="11"/>
  <c r="G43" i="11"/>
  <c r="F43" i="11"/>
  <c r="G42" i="11"/>
  <c r="F42" i="11"/>
  <c r="D115" i="10"/>
  <c r="Q115" i="10" s="1"/>
  <c r="R115" i="10" s="1"/>
  <c r="T115" i="10" s="1"/>
  <c r="G41" i="11"/>
  <c r="F41" i="11"/>
  <c r="D131" i="10"/>
  <c r="Q131" i="10" s="1"/>
  <c r="R131" i="10" s="1"/>
  <c r="T131" i="10" s="1"/>
  <c r="E40" i="11"/>
  <c r="G40" i="11"/>
  <c r="F40" i="11"/>
  <c r="E39" i="11"/>
  <c r="G39" i="11"/>
  <c r="F39" i="11"/>
  <c r="D130" i="10"/>
  <c r="Q130" i="10" s="1"/>
  <c r="R130" i="10" s="1"/>
  <c r="T130" i="10" s="1"/>
  <c r="G38" i="11"/>
  <c r="F38" i="11"/>
  <c r="D105" i="10"/>
  <c r="G37" i="11"/>
  <c r="F37" i="11"/>
  <c r="G36" i="11"/>
  <c r="F36" i="11"/>
  <c r="G35" i="11"/>
  <c r="F35" i="11"/>
  <c r="G34" i="11"/>
  <c r="F34" i="11"/>
  <c r="D113" i="10"/>
  <c r="Q113" i="10" s="1"/>
  <c r="R113" i="10" s="1"/>
  <c r="T113" i="10" s="1"/>
  <c r="E33" i="11"/>
  <c r="G33" i="11"/>
  <c r="F33" i="11"/>
  <c r="D127" i="10"/>
  <c r="Q127" i="10" s="1"/>
  <c r="R127" i="10" s="1"/>
  <c r="T127" i="10" s="1"/>
  <c r="G32" i="11"/>
  <c r="F32" i="11"/>
  <c r="D111" i="10"/>
  <c r="Q111" i="10" s="1"/>
  <c r="R111" i="10" s="1"/>
  <c r="T111" i="10" s="1"/>
  <c r="G30" i="11"/>
  <c r="F30" i="11"/>
  <c r="D109" i="10"/>
  <c r="Q109" i="10" s="1"/>
  <c r="R109" i="10" s="1"/>
  <c r="T109" i="10" s="1"/>
  <c r="G29" i="11"/>
  <c r="F29" i="11"/>
  <c r="G28" i="11"/>
  <c r="F28" i="11"/>
  <c r="G27" i="11"/>
  <c r="F27" i="11"/>
  <c r="G26" i="11"/>
  <c r="F26" i="11"/>
  <c r="D104" i="10"/>
  <c r="Q104" i="10" s="1"/>
  <c r="R104" i="10" s="1"/>
  <c r="T104" i="10" s="1"/>
  <c r="E25" i="11"/>
  <c r="G25" i="11"/>
  <c r="F25" i="11"/>
  <c r="G24" i="11"/>
  <c r="F24" i="11"/>
  <c r="D124" i="10"/>
  <c r="Q124" i="10" s="1"/>
  <c r="R124" i="10" s="1"/>
  <c r="T124" i="10" s="1"/>
  <c r="G23" i="11"/>
  <c r="F23" i="11"/>
  <c r="D123" i="10"/>
  <c r="Q123" i="10" s="1"/>
  <c r="R123" i="10" s="1"/>
  <c r="T123" i="10" s="1"/>
  <c r="G22" i="11"/>
  <c r="F22" i="11"/>
  <c r="D122" i="10"/>
  <c r="Q122" i="10" s="1"/>
  <c r="R122" i="10" s="1"/>
  <c r="T122" i="10" s="1"/>
  <c r="G21" i="11"/>
  <c r="F21" i="11"/>
  <c r="G20" i="11"/>
  <c r="F20" i="11"/>
  <c r="G19" i="11"/>
  <c r="F19" i="11"/>
  <c r="G18" i="11"/>
  <c r="F18" i="11"/>
  <c r="D121" i="10"/>
  <c r="Q121" i="10" s="1"/>
  <c r="R121" i="10" s="1"/>
  <c r="T121" i="10" s="1"/>
  <c r="G17" i="11"/>
  <c r="F17" i="11"/>
  <c r="G16" i="11"/>
  <c r="F16" i="11"/>
  <c r="D97" i="10"/>
  <c r="Q97" i="10" s="1"/>
  <c r="R97" i="10" s="1"/>
  <c r="T97" i="10" s="1"/>
  <c r="E15" i="11"/>
  <c r="G15" i="11"/>
  <c r="F15" i="11"/>
  <c r="Q95" i="10"/>
  <c r="R95" i="10" s="1"/>
  <c r="T95" i="10" s="1"/>
  <c r="G14" i="11"/>
  <c r="F13" i="11"/>
  <c r="D120" i="10"/>
  <c r="Q120" i="10" s="1"/>
  <c r="R120" i="10" s="1"/>
  <c r="T120" i="10" s="1"/>
  <c r="D119" i="10"/>
  <c r="Q119" i="10" s="1"/>
  <c r="R119" i="10" s="1"/>
  <c r="T119" i="10" s="1"/>
  <c r="Q117" i="10"/>
  <c r="R117" i="10" s="1"/>
  <c r="T117" i="10" s="1"/>
  <c r="D134" i="10"/>
  <c r="Q134" i="10" s="1"/>
  <c r="R134" i="10" s="1"/>
  <c r="T134" i="10" s="1"/>
  <c r="D132" i="10"/>
  <c r="Q132" i="10" s="1"/>
  <c r="R132" i="10" s="1"/>
  <c r="T132" i="10" s="1"/>
  <c r="D112" i="10"/>
  <c r="Q112" i="10" s="1"/>
  <c r="R112" i="10" s="1"/>
  <c r="T112" i="10" s="1"/>
  <c r="D129" i="10"/>
  <c r="Q129" i="10" s="1"/>
  <c r="R129" i="10" s="1"/>
  <c r="T129" i="10" s="1"/>
  <c r="D128" i="10"/>
  <c r="Q128" i="10" s="1"/>
  <c r="R128" i="10" s="1"/>
  <c r="T128" i="10" s="1"/>
  <c r="D110" i="10"/>
  <c r="Q110" i="10" s="1"/>
  <c r="R110" i="10" s="1"/>
  <c r="T110" i="10" s="1"/>
  <c r="D107" i="10"/>
  <c r="Q107" i="10" s="1"/>
  <c r="R107" i="10" s="1"/>
  <c r="T107" i="10" s="1"/>
  <c r="D126" i="10"/>
  <c r="Q126" i="10" s="1"/>
  <c r="R126" i="10" s="1"/>
  <c r="T126" i="10" s="1"/>
  <c r="D125" i="10"/>
  <c r="Q125" i="10" s="1"/>
  <c r="R125" i="10" s="1"/>
  <c r="T125" i="10" s="1"/>
  <c r="D102" i="10"/>
  <c r="Q102" i="10" s="1"/>
  <c r="R102" i="10" s="1"/>
  <c r="T102" i="10" s="1"/>
  <c r="D98" i="10"/>
  <c r="Q98" i="10" s="1"/>
  <c r="R98" i="10" s="1"/>
  <c r="T98" i="10" s="1"/>
  <c r="Q101" i="10"/>
  <c r="R101" i="10" s="1"/>
  <c r="T101" i="10" s="1"/>
  <c r="Q100" i="10"/>
  <c r="R100" i="10" s="1"/>
  <c r="T100" i="10" s="1"/>
  <c r="D133" i="10"/>
  <c r="Q133" i="10" s="1"/>
  <c r="R133" i="10" s="1"/>
  <c r="T133" i="10" s="1"/>
  <c r="Q96" i="10"/>
  <c r="R96" i="10" s="1"/>
  <c r="T96" i="10" s="1"/>
  <c r="D67" i="10"/>
  <c r="B8" i="11"/>
  <c r="R5" i="12"/>
  <c r="R9" i="12"/>
  <c r="R12" i="12"/>
  <c r="R16" i="12"/>
  <c r="Q5" i="12"/>
  <c r="Q9" i="12"/>
  <c r="Q12" i="12"/>
  <c r="Q16" i="12"/>
  <c r="P5" i="12"/>
  <c r="P9" i="12"/>
  <c r="P12" i="12"/>
  <c r="P16" i="12"/>
  <c r="N5" i="12"/>
  <c r="N9" i="12"/>
  <c r="N12" i="12"/>
  <c r="N16" i="12"/>
  <c r="M5" i="12"/>
  <c r="M9" i="12"/>
  <c r="M12" i="12"/>
  <c r="M16" i="12"/>
  <c r="L5" i="12"/>
  <c r="L9" i="12"/>
  <c r="L12" i="12"/>
  <c r="L16" i="12"/>
  <c r="J5" i="12"/>
  <c r="J9" i="12"/>
  <c r="J12" i="12"/>
  <c r="J16" i="12"/>
  <c r="I5" i="12"/>
  <c r="I9" i="12"/>
  <c r="I12" i="12"/>
  <c r="I16" i="12"/>
  <c r="H5" i="12"/>
  <c r="H9" i="12"/>
  <c r="H12" i="12"/>
  <c r="H16" i="12"/>
  <c r="F5" i="12"/>
  <c r="F9" i="12"/>
  <c r="F12" i="12"/>
  <c r="F16" i="12"/>
  <c r="E9" i="12"/>
  <c r="E16" i="12" s="1"/>
  <c r="E12" i="12"/>
  <c r="D12" i="12"/>
  <c r="Q108" i="10"/>
  <c r="R108" i="10" s="1"/>
  <c r="T108" i="10" s="1"/>
  <c r="Q105" i="10"/>
  <c r="R105" i="10" s="1"/>
  <c r="T105" i="10" s="1"/>
  <c r="I95" i="10"/>
  <c r="J95" i="10" s="1"/>
  <c r="L95" i="10" s="1"/>
  <c r="I108" i="10"/>
  <c r="J108" i="10" s="1"/>
  <c r="L108" i="10" s="1"/>
  <c r="T114" i="10" l="1"/>
  <c r="T99" i="10"/>
  <c r="B48" i="10"/>
  <c r="D141" i="10"/>
  <c r="Q141" i="10" s="1"/>
  <c r="R141" i="10" s="1"/>
  <c r="T141" i="10" s="1"/>
  <c r="U141" i="10" s="1"/>
  <c r="Q140" i="10"/>
  <c r="R140" i="10" s="1"/>
  <c r="T140" i="10" s="1"/>
  <c r="U140" i="10" s="1"/>
  <c r="B65" i="10"/>
  <c r="T139" i="10"/>
  <c r="U139" i="10" s="1"/>
  <c r="L139" i="10"/>
  <c r="M139" i="10" s="1"/>
  <c r="L140" i="10"/>
  <c r="M140" i="10" s="1"/>
  <c r="T106" i="10"/>
  <c r="U106" i="10" s="1"/>
  <c r="L118" i="10"/>
  <c r="M118" i="10" s="1"/>
  <c r="U115" i="10"/>
  <c r="U114" i="10"/>
  <c r="U98" i="10"/>
  <c r="U112" i="10"/>
  <c r="U95" i="10"/>
  <c r="U124" i="10"/>
  <c r="U118" i="10"/>
  <c r="U113" i="10"/>
  <c r="U132" i="10"/>
  <c r="U125" i="10"/>
  <c r="U134" i="10"/>
  <c r="U122" i="10"/>
  <c r="U105" i="10"/>
  <c r="U102" i="10"/>
  <c r="U108" i="10"/>
  <c r="U126" i="10"/>
  <c r="U117" i="10"/>
  <c r="U100" i="10"/>
  <c r="M108" i="10"/>
  <c r="U96" i="10"/>
  <c r="U116" i="10"/>
  <c r="H17" i="11"/>
  <c r="G133" i="10" s="1"/>
  <c r="I133" i="10" s="1"/>
  <c r="J133" i="10" s="1"/>
  <c r="L133" i="10" s="1"/>
  <c r="H25" i="11"/>
  <c r="G102" i="10" s="1"/>
  <c r="I102" i="10" s="1"/>
  <c r="J102" i="10" s="1"/>
  <c r="L102" i="10" s="1"/>
  <c r="H15" i="11"/>
  <c r="H45" i="11"/>
  <c r="G116" i="10" s="1"/>
  <c r="I116" i="10" s="1"/>
  <c r="J116" i="10" s="1"/>
  <c r="L116" i="10" s="1"/>
  <c r="H31" i="11"/>
  <c r="G107" i="10" s="1"/>
  <c r="I107" i="10" s="1"/>
  <c r="J107" i="10" s="1"/>
  <c r="L107" i="10" s="1"/>
  <c r="H19" i="11"/>
  <c r="I100" i="10" s="1"/>
  <c r="J100" i="10" s="1"/>
  <c r="L100" i="10" s="1"/>
  <c r="H41" i="11"/>
  <c r="G131" i="10" s="1"/>
  <c r="I131" i="10" s="1"/>
  <c r="J131" i="10" s="1"/>
  <c r="L131" i="10" s="1"/>
  <c r="H24" i="11"/>
  <c r="G124" i="10" s="1"/>
  <c r="I124" i="10" s="1"/>
  <c r="J124" i="10" s="1"/>
  <c r="L124" i="10" s="1"/>
  <c r="H40" i="11"/>
  <c r="G112" i="10" s="1"/>
  <c r="I112" i="10" s="1"/>
  <c r="J112" i="10" s="1"/>
  <c r="L112" i="10" s="1"/>
  <c r="H51" i="11"/>
  <c r="I106" i="10" s="1"/>
  <c r="J106" i="10" s="1"/>
  <c r="L106" i="10" s="1"/>
  <c r="H26" i="11"/>
  <c r="G104" i="10" s="1"/>
  <c r="I104" i="10" s="1"/>
  <c r="J104" i="10" s="1"/>
  <c r="L104" i="10" s="1"/>
  <c r="H44" i="11"/>
  <c r="G134" i="10" s="1"/>
  <c r="I134" i="10" s="1"/>
  <c r="J134" i="10" s="1"/>
  <c r="L134" i="10" s="1"/>
  <c r="H34" i="11"/>
  <c r="G113" i="10" s="1"/>
  <c r="I113" i="10" s="1"/>
  <c r="J113" i="10" s="1"/>
  <c r="L113" i="10" s="1"/>
  <c r="H32" i="11"/>
  <c r="G111" i="10" s="1"/>
  <c r="I111" i="10" s="1"/>
  <c r="J111" i="10" s="1"/>
  <c r="L111" i="10" s="1"/>
  <c r="H18" i="11"/>
  <c r="G121" i="10" s="1"/>
  <c r="I121" i="10" s="1"/>
  <c r="J121" i="10" s="1"/>
  <c r="L121" i="10" s="1"/>
  <c r="H52" i="11"/>
  <c r="G114" i="10" s="1"/>
  <c r="I114" i="10" s="1"/>
  <c r="J114" i="10" s="1"/>
  <c r="L114" i="10" s="1"/>
  <c r="H22" i="11"/>
  <c r="G122" i="10" s="1"/>
  <c r="I122" i="10" s="1"/>
  <c r="J122" i="10" s="1"/>
  <c r="L122" i="10" s="1"/>
  <c r="H50" i="11"/>
  <c r="G99" i="10" s="1"/>
  <c r="I99" i="10" s="1"/>
  <c r="J99" i="10" s="1"/>
  <c r="L99" i="10" s="1"/>
  <c r="H37" i="11"/>
  <c r="G129" i="10" s="1"/>
  <c r="I129" i="10" s="1"/>
  <c r="J129" i="10" s="1"/>
  <c r="L129" i="10" s="1"/>
  <c r="H23" i="11"/>
  <c r="G123" i="10" s="1"/>
  <c r="I123" i="10" s="1"/>
  <c r="J123" i="10" s="1"/>
  <c r="L123" i="10" s="1"/>
  <c r="H20" i="11"/>
  <c r="I101" i="10" s="1"/>
  <c r="J101" i="10" s="1"/>
  <c r="L101" i="10" s="1"/>
  <c r="H21" i="11"/>
  <c r="G98" i="10" s="1"/>
  <c r="I98" i="10" s="1"/>
  <c r="J98" i="10" s="1"/>
  <c r="L98" i="10" s="1"/>
  <c r="H28" i="11"/>
  <c r="H39" i="11"/>
  <c r="G130" i="10" s="1"/>
  <c r="I130" i="10" s="1"/>
  <c r="J130" i="10" s="1"/>
  <c r="L130" i="10" s="1"/>
  <c r="H46" i="11"/>
  <c r="I117" i="10" s="1"/>
  <c r="J117" i="10" s="1"/>
  <c r="L117" i="10" s="1"/>
  <c r="H27" i="11"/>
  <c r="G125" i="10" s="1"/>
  <c r="I125" i="10" s="1"/>
  <c r="J125" i="10" s="1"/>
  <c r="L125" i="10" s="1"/>
  <c r="H47" i="11"/>
  <c r="G119" i="10" s="1"/>
  <c r="I119" i="10" s="1"/>
  <c r="J119" i="10" s="1"/>
  <c r="L119" i="10" s="1"/>
  <c r="H49" i="11"/>
  <c r="G103" i="10" s="1"/>
  <c r="I103" i="10" s="1"/>
  <c r="J103" i="10" s="1"/>
  <c r="L103" i="10" s="1"/>
  <c r="H13" i="11"/>
  <c r="G120" i="10" s="1"/>
  <c r="I120" i="10" s="1"/>
  <c r="J120" i="10" s="1"/>
  <c r="L120" i="10" s="1"/>
  <c r="U131" i="10"/>
  <c r="H14" i="11"/>
  <c r="I96" i="10" s="1"/>
  <c r="J96" i="10" s="1"/>
  <c r="L96" i="10" s="1"/>
  <c r="H38" i="11"/>
  <c r="G105" i="10" s="1"/>
  <c r="I105" i="10" s="1"/>
  <c r="J105" i="10" s="1"/>
  <c r="L105" i="10" s="1"/>
  <c r="U109" i="10"/>
  <c r="H30" i="11"/>
  <c r="G109" i="10" s="1"/>
  <c r="I109" i="10" s="1"/>
  <c r="J109" i="10" s="1"/>
  <c r="L109" i="10" s="1"/>
  <c r="H36" i="11"/>
  <c r="G128" i="10" s="1"/>
  <c r="I128" i="10" s="1"/>
  <c r="J128" i="10" s="1"/>
  <c r="L128" i="10" s="1"/>
  <c r="H43" i="11"/>
  <c r="G132" i="10" s="1"/>
  <c r="I132" i="10" s="1"/>
  <c r="J132" i="10" s="1"/>
  <c r="L132" i="10" s="1"/>
  <c r="H42" i="11"/>
  <c r="G115" i="10" s="1"/>
  <c r="I115" i="10" s="1"/>
  <c r="J115" i="10" s="1"/>
  <c r="L115" i="10" s="1"/>
  <c r="H16" i="11"/>
  <c r="G97" i="10" s="1"/>
  <c r="I97" i="10" s="1"/>
  <c r="J97" i="10" s="1"/>
  <c r="L97" i="10" s="1"/>
  <c r="H29" i="11"/>
  <c r="G126" i="10" s="1"/>
  <c r="I126" i="10" s="1"/>
  <c r="J126" i="10" s="1"/>
  <c r="L126" i="10" s="1"/>
  <c r="H35" i="11"/>
  <c r="G110" i="10" s="1"/>
  <c r="I110" i="10" s="1"/>
  <c r="J110" i="10" s="1"/>
  <c r="L110" i="10" s="1"/>
  <c r="H33" i="11"/>
  <c r="G127" i="10" s="1"/>
  <c r="I127" i="10" s="1"/>
  <c r="J127" i="10" s="1"/>
  <c r="L127" i="10" s="1"/>
  <c r="U133" i="10"/>
  <c r="U103" i="10"/>
  <c r="M95" i="10"/>
  <c r="D142" i="10"/>
  <c r="Q142" i="10" s="1"/>
  <c r="R142" i="10" s="1"/>
  <c r="T142" i="10" s="1"/>
  <c r="U142" i="10" s="1"/>
  <c r="U120" i="10"/>
  <c r="U107" i="10"/>
  <c r="U97" i="10"/>
  <c r="U110" i="10"/>
  <c r="U123" i="10"/>
  <c r="U111" i="10"/>
  <c r="U119" i="10"/>
  <c r="U104" i="10"/>
  <c r="U121" i="10"/>
  <c r="U128" i="10"/>
  <c r="U135" i="10"/>
  <c r="B45" i="10"/>
  <c r="M135" i="10"/>
  <c r="G141" i="10"/>
  <c r="I141" i="10" s="1"/>
  <c r="J141" i="10" s="1"/>
  <c r="L141" i="10" s="1"/>
  <c r="M141" i="10" s="1"/>
  <c r="U101" i="10"/>
  <c r="U99" i="10"/>
  <c r="U129" i="10"/>
  <c r="U130" i="10"/>
  <c r="U127" i="10"/>
  <c r="E28" i="10"/>
  <c r="B51" i="10" l="1"/>
  <c r="B52" i="10" s="1"/>
  <c r="B50" i="10"/>
  <c r="P95" i="10"/>
  <c r="V141" i="10"/>
  <c r="X141" i="10"/>
  <c r="X142" i="10"/>
  <c r="V142" i="10"/>
  <c r="X140" i="10"/>
  <c r="V140" i="10"/>
  <c r="P141" i="10"/>
  <c r="N141" i="10"/>
  <c r="P140" i="10"/>
  <c r="N140" i="10"/>
  <c r="P139" i="10"/>
  <c r="N139" i="10"/>
  <c r="V139" i="10"/>
  <c r="X139" i="10"/>
  <c r="X117" i="10"/>
  <c r="X106" i="10"/>
  <c r="X95" i="10"/>
  <c r="X108" i="10"/>
  <c r="X100" i="10"/>
  <c r="X96" i="10"/>
  <c r="X101" i="10"/>
  <c r="P108" i="10"/>
  <c r="X127" i="10"/>
  <c r="M134" i="10"/>
  <c r="X135" i="10"/>
  <c r="X126" i="10"/>
  <c r="X128" i="10"/>
  <c r="X121" i="10"/>
  <c r="X122" i="10"/>
  <c r="P118" i="10"/>
  <c r="X123" i="10"/>
  <c r="X125" i="10"/>
  <c r="X129" i="10"/>
  <c r="X118" i="10"/>
  <c r="X119" i="10"/>
  <c r="X131" i="10"/>
  <c r="X124" i="10"/>
  <c r="X134" i="10"/>
  <c r="X130" i="10"/>
  <c r="X133" i="10"/>
  <c r="X132" i="10"/>
  <c r="X120" i="10"/>
  <c r="P135" i="10"/>
  <c r="X114" i="10"/>
  <c r="X112" i="10"/>
  <c r="X116" i="10"/>
  <c r="X113" i="10"/>
  <c r="X115" i="10"/>
  <c r="X110" i="10"/>
  <c r="X109" i="10"/>
  <c r="X111" i="10"/>
  <c r="X107" i="10"/>
  <c r="X102" i="10"/>
  <c r="X104" i="10"/>
  <c r="X103" i="10"/>
  <c r="X105" i="10"/>
  <c r="X98" i="10"/>
  <c r="X99" i="10"/>
  <c r="X97" i="10"/>
  <c r="M101" i="10"/>
  <c r="M100" i="10"/>
  <c r="M117" i="10"/>
  <c r="M106" i="10"/>
  <c r="M132" i="10"/>
  <c r="M122" i="10"/>
  <c r="M128" i="10"/>
  <c r="M119" i="10"/>
  <c r="M121" i="10"/>
  <c r="M123" i="10"/>
  <c r="M112" i="10"/>
  <c r="M114" i="10"/>
  <c r="M111" i="10"/>
  <c r="M113" i="10"/>
  <c r="M109" i="10"/>
  <c r="M116" i="10"/>
  <c r="M103" i="10"/>
  <c r="M105" i="10"/>
  <c r="V132" i="10"/>
  <c r="V119" i="10"/>
  <c r="M130" i="10"/>
  <c r="M120" i="10"/>
  <c r="V121" i="10"/>
  <c r="V135" i="10"/>
  <c r="V122" i="10"/>
  <c r="V125" i="10"/>
  <c r="V123" i="10"/>
  <c r="V130" i="10"/>
  <c r="V114" i="10"/>
  <c r="V112" i="10"/>
  <c r="V109" i="10"/>
  <c r="V107" i="10"/>
  <c r="V105" i="10"/>
  <c r="M99" i="10"/>
  <c r="V99" i="10"/>
  <c r="V98" i="10"/>
  <c r="N135" i="10"/>
  <c r="V133" i="10"/>
  <c r="V113" i="10"/>
  <c r="V115" i="10"/>
  <c r="V131" i="10"/>
  <c r="V103" i="10"/>
  <c r="V118" i="10"/>
  <c r="V102" i="10"/>
  <c r="V95" i="10"/>
  <c r="V96" i="10"/>
  <c r="V116" i="10"/>
  <c r="M127" i="10"/>
  <c r="M129" i="10"/>
  <c r="M104" i="10"/>
  <c r="M107" i="10"/>
  <c r="M110" i="10"/>
  <c r="M126" i="10"/>
  <c r="V128" i="10"/>
  <c r="M97" i="10"/>
  <c r="M96" i="10"/>
  <c r="M125" i="10"/>
  <c r="M98" i="10"/>
  <c r="M115" i="10"/>
  <c r="M102" i="10"/>
  <c r="V134" i="10"/>
  <c r="M133" i="10"/>
  <c r="M124" i="10"/>
  <c r="M131" i="10"/>
  <c r="V106" i="10"/>
  <c r="V108" i="10"/>
  <c r="V100" i="10"/>
  <c r="V120" i="10"/>
  <c r="V101" i="10"/>
  <c r="N95" i="10"/>
  <c r="V97" i="10"/>
  <c r="V129" i="10"/>
  <c r="N118" i="10"/>
  <c r="V110" i="10"/>
  <c r="N108" i="10"/>
  <c r="V104" i="10"/>
  <c r="V124" i="10"/>
  <c r="V117" i="10"/>
  <c r="V126" i="10"/>
  <c r="G142" i="10"/>
  <c r="I142" i="10" s="1"/>
  <c r="J142" i="10" s="1"/>
  <c r="L142" i="10" s="1"/>
  <c r="M142" i="10" s="1"/>
  <c r="N142" i="10" s="1"/>
  <c r="V111" i="10"/>
  <c r="V127" i="10"/>
  <c r="D143" i="10"/>
  <c r="Q143" i="10" s="1"/>
  <c r="R143" i="10" s="1"/>
  <c r="T143" i="10" s="1"/>
  <c r="U143" i="10" s="1"/>
  <c r="V143" i="10" s="1"/>
  <c r="D43" i="10" l="1"/>
  <c r="B60" i="10"/>
  <c r="B61" i="10" s="1"/>
  <c r="B67" i="10" s="1"/>
  <c r="B68" i="10" s="1"/>
  <c r="D52" i="10"/>
  <c r="B78" i="10"/>
  <c r="B69" i="10"/>
  <c r="B71" i="10" s="1"/>
  <c r="B73" i="10" s="1"/>
  <c r="B55" i="10"/>
  <c r="E55" i="10" s="1"/>
  <c r="B63" i="10"/>
  <c r="B64" i="10" s="1"/>
  <c r="B79" i="10"/>
  <c r="B47" i="10"/>
  <c r="P142" i="10"/>
  <c r="X143" i="10"/>
  <c r="P106" i="10"/>
  <c r="P100" i="10"/>
  <c r="P96" i="10"/>
  <c r="P101" i="10"/>
  <c r="P117" i="10"/>
  <c r="P134" i="10"/>
  <c r="N134" i="10"/>
  <c r="P120" i="10"/>
  <c r="P128" i="10"/>
  <c r="P132" i="10"/>
  <c r="P126" i="10"/>
  <c r="P130" i="10"/>
  <c r="P125" i="10"/>
  <c r="P131" i="10"/>
  <c r="P123" i="10"/>
  <c r="P124" i="10"/>
  <c r="P121" i="10"/>
  <c r="P122" i="10"/>
  <c r="P129" i="10"/>
  <c r="P127" i="10"/>
  <c r="P133" i="10"/>
  <c r="P119" i="10"/>
  <c r="P109" i="10"/>
  <c r="P113" i="10"/>
  <c r="P111" i="10"/>
  <c r="P114" i="10"/>
  <c r="P115" i="10"/>
  <c r="P112" i="10"/>
  <c r="P116" i="10"/>
  <c r="P110" i="10"/>
  <c r="P107" i="10"/>
  <c r="P102" i="10"/>
  <c r="P105" i="10"/>
  <c r="P103" i="10"/>
  <c r="P104" i="10"/>
  <c r="P97" i="10"/>
  <c r="P99" i="10"/>
  <c r="P98" i="10"/>
  <c r="N117" i="10"/>
  <c r="N106" i="10"/>
  <c r="N100" i="10"/>
  <c r="N101" i="10"/>
  <c r="N123" i="10"/>
  <c r="N121" i="10"/>
  <c r="N122" i="10"/>
  <c r="N119" i="10"/>
  <c r="N128" i="10"/>
  <c r="N132" i="10"/>
  <c r="N116" i="10"/>
  <c r="N109" i="10"/>
  <c r="N111" i="10"/>
  <c r="N114" i="10"/>
  <c r="N113" i="10"/>
  <c r="N112" i="10"/>
  <c r="N105" i="10"/>
  <c r="N103" i="10"/>
  <c r="N120" i="10"/>
  <c r="N130" i="10"/>
  <c r="N99" i="10"/>
  <c r="N115" i="10"/>
  <c r="N129" i="10"/>
  <c r="N98" i="10"/>
  <c r="N124" i="10"/>
  <c r="N133" i="10"/>
  <c r="N110" i="10"/>
  <c r="N102" i="10"/>
  <c r="N107" i="10"/>
  <c r="N126" i="10"/>
  <c r="N127" i="10"/>
  <c r="N131" i="10"/>
  <c r="N125" i="10"/>
  <c r="N96" i="10"/>
  <c r="N104" i="10"/>
  <c r="N97" i="10"/>
  <c r="G143" i="10"/>
  <c r="I143" i="10" s="1"/>
  <c r="J143" i="10" s="1"/>
  <c r="L143" i="10" s="1"/>
  <c r="M143" i="10" s="1"/>
  <c r="D144" i="10"/>
  <c r="Q144" i="10" s="1"/>
  <c r="R144" i="10" s="1"/>
  <c r="T144" i="10" s="1"/>
  <c r="U144" i="10" s="1"/>
  <c r="B81" i="10" l="1"/>
  <c r="B80" i="10"/>
  <c r="B56" i="10"/>
  <c r="B70" i="10"/>
  <c r="B89" i="10"/>
  <c r="B181" i="10" s="1"/>
  <c r="B86" i="10"/>
  <c r="B87" i="10" s="1"/>
  <c r="V144" i="10"/>
  <c r="X144" i="10"/>
  <c r="P143" i="10"/>
  <c r="N143" i="10"/>
  <c r="B75" i="10"/>
  <c r="B83" i="10"/>
  <c r="B84" i="10" s="1"/>
  <c r="D179" i="10" s="1"/>
  <c r="B76" i="10"/>
  <c r="C176" i="10" s="1"/>
  <c r="B175" i="10"/>
  <c r="B174" i="10"/>
  <c r="B178" i="10"/>
  <c r="D145" i="10"/>
  <c r="Q145" i="10" s="1"/>
  <c r="R145" i="10" s="1"/>
  <c r="T145" i="10" s="1"/>
  <c r="U145" i="10" s="1"/>
  <c r="G144" i="10"/>
  <c r="I144" i="10" s="1"/>
  <c r="J144" i="10" s="1"/>
  <c r="L144" i="10" s="1"/>
  <c r="M144" i="10" s="1"/>
  <c r="E174" i="10" l="1"/>
  <c r="B179" i="10"/>
  <c r="E175" i="10"/>
  <c r="B180" i="10"/>
  <c r="B177" i="10"/>
  <c r="B176" i="10"/>
  <c r="E178" i="10"/>
  <c r="E180" i="10"/>
  <c r="E176" i="10"/>
  <c r="E179" i="10"/>
  <c r="E181" i="10"/>
  <c r="E177" i="10"/>
  <c r="W120" i="10"/>
  <c r="C120" i="10" s="1"/>
  <c r="W101" i="10"/>
  <c r="C101" i="10" s="1"/>
  <c r="W108" i="10"/>
  <c r="C108" i="10" s="1"/>
  <c r="O108" i="10"/>
  <c r="F108" i="10" s="1"/>
  <c r="W131" i="10"/>
  <c r="C131" i="10" s="1"/>
  <c r="W107" i="10"/>
  <c r="C107" i="10" s="1"/>
  <c r="W124" i="10"/>
  <c r="C124" i="10" s="1"/>
  <c r="W100" i="10"/>
  <c r="C100" i="10" s="1"/>
  <c r="W111" i="10"/>
  <c r="C111" i="10" s="1"/>
  <c r="W118" i="10"/>
  <c r="C118" i="10" s="1"/>
  <c r="W99" i="10"/>
  <c r="C99" i="10" s="1"/>
  <c r="W119" i="10"/>
  <c r="C119" i="10" s="1"/>
  <c r="W96" i="10"/>
  <c r="C96" i="10" s="1"/>
  <c r="W133" i="10"/>
  <c r="C133" i="10" s="1"/>
  <c r="W125" i="10"/>
  <c r="C125" i="10" s="1"/>
  <c r="W126" i="10"/>
  <c r="C126" i="10" s="1"/>
  <c r="W106" i="10"/>
  <c r="C106" i="10" s="1"/>
  <c r="W123" i="10"/>
  <c r="C123" i="10" s="1"/>
  <c r="W103" i="10"/>
  <c r="C103" i="10" s="1"/>
  <c r="W122" i="10"/>
  <c r="C122" i="10" s="1"/>
  <c r="W114" i="10"/>
  <c r="C114" i="10" s="1"/>
  <c r="W113" i="10"/>
  <c r="C113" i="10" s="1"/>
  <c r="W134" i="10"/>
  <c r="C134" i="10" s="1"/>
  <c r="W135" i="10"/>
  <c r="C135" i="10" s="1"/>
  <c r="O135" i="10"/>
  <c r="F135" i="10" s="1"/>
  <c r="W112" i="10"/>
  <c r="C112" i="10" s="1"/>
  <c r="W121" i="10"/>
  <c r="C121" i="10" s="1"/>
  <c r="W117" i="10"/>
  <c r="C117" i="10" s="1"/>
  <c r="O118" i="10"/>
  <c r="F118" i="10" s="1"/>
  <c r="W110" i="10"/>
  <c r="C110" i="10" s="1"/>
  <c r="W116" i="10"/>
  <c r="C116" i="10" s="1"/>
  <c r="W127" i="10"/>
  <c r="C127" i="10" s="1"/>
  <c r="W128" i="10"/>
  <c r="C128" i="10" s="1"/>
  <c r="W132" i="10"/>
  <c r="C132" i="10" s="1"/>
  <c r="W98" i="10"/>
  <c r="C98" i="10" s="1"/>
  <c r="W109" i="10"/>
  <c r="C109" i="10" s="1"/>
  <c r="W105" i="10"/>
  <c r="C105" i="10" s="1"/>
  <c r="W97" i="10"/>
  <c r="C97" i="10" s="1"/>
  <c r="O95" i="10"/>
  <c r="F95" i="10" s="1"/>
  <c r="W129" i="10"/>
  <c r="C129" i="10" s="1"/>
  <c r="W115" i="10"/>
  <c r="C115" i="10" s="1"/>
  <c r="W104" i="10"/>
  <c r="C104" i="10" s="1"/>
  <c r="W102" i="10"/>
  <c r="C102" i="10" s="1"/>
  <c r="W95" i="10"/>
  <c r="C95" i="10" s="1"/>
  <c r="W130" i="10"/>
  <c r="C130" i="10" s="1"/>
  <c r="O113" i="10"/>
  <c r="F113" i="10" s="1"/>
  <c r="O102" i="10"/>
  <c r="F102" i="10" s="1"/>
  <c r="O112" i="10"/>
  <c r="F112" i="10" s="1"/>
  <c r="O103" i="10"/>
  <c r="F103" i="10" s="1"/>
  <c r="O131" i="10"/>
  <c r="F131" i="10" s="1"/>
  <c r="O122" i="10"/>
  <c r="F122" i="10" s="1"/>
  <c r="O110" i="10"/>
  <c r="F110" i="10" s="1"/>
  <c r="O117" i="10"/>
  <c r="F117" i="10" s="1"/>
  <c r="O121" i="10"/>
  <c r="F121" i="10" s="1"/>
  <c r="O96" i="10"/>
  <c r="F96" i="10" s="1"/>
  <c r="O130" i="10"/>
  <c r="F130" i="10" s="1"/>
  <c r="O132" i="10"/>
  <c r="F132" i="10" s="1"/>
  <c r="O97" i="10"/>
  <c r="F97" i="10" s="1"/>
  <c r="O114" i="10"/>
  <c r="F114" i="10" s="1"/>
  <c r="O128" i="10"/>
  <c r="F128" i="10" s="1"/>
  <c r="O101" i="10"/>
  <c r="F101" i="10" s="1"/>
  <c r="O127" i="10"/>
  <c r="F127" i="10" s="1"/>
  <c r="O115" i="10"/>
  <c r="F115" i="10" s="1"/>
  <c r="O129" i="10"/>
  <c r="F129" i="10" s="1"/>
  <c r="O111" i="10"/>
  <c r="F111" i="10" s="1"/>
  <c r="O106" i="10"/>
  <c r="F106" i="10" s="1"/>
  <c r="O98" i="10"/>
  <c r="F98" i="10" s="1"/>
  <c r="O120" i="10"/>
  <c r="F120" i="10" s="1"/>
  <c r="O116" i="10"/>
  <c r="F116" i="10" s="1"/>
  <c r="O109" i="10"/>
  <c r="F109" i="10" s="1"/>
  <c r="O134" i="10"/>
  <c r="F134" i="10" s="1"/>
  <c r="O124" i="10"/>
  <c r="F124" i="10" s="1"/>
  <c r="O133" i="10"/>
  <c r="F133" i="10" s="1"/>
  <c r="O99" i="10"/>
  <c r="F99" i="10" s="1"/>
  <c r="O104" i="10"/>
  <c r="F104" i="10" s="1"/>
  <c r="O119" i="10"/>
  <c r="F119" i="10" s="1"/>
  <c r="O126" i="10"/>
  <c r="F126" i="10" s="1"/>
  <c r="O123" i="10"/>
  <c r="F123" i="10" s="1"/>
  <c r="O105" i="10"/>
  <c r="F105" i="10" s="1"/>
  <c r="O125" i="10"/>
  <c r="F125" i="10" s="1"/>
  <c r="O107" i="10"/>
  <c r="F107" i="10" s="1"/>
  <c r="O100" i="10"/>
  <c r="F100" i="10" s="1"/>
  <c r="D180" i="10"/>
  <c r="D174" i="10"/>
  <c r="C181" i="10"/>
  <c r="C177" i="10"/>
  <c r="D177" i="10"/>
  <c r="D181" i="10"/>
  <c r="C174" i="10"/>
  <c r="C175" i="10"/>
  <c r="W142" i="10"/>
  <c r="C142" i="10" s="1"/>
  <c r="W141" i="10"/>
  <c r="C141" i="10" s="1"/>
  <c r="O142" i="10"/>
  <c r="F142" i="10" s="1"/>
  <c r="W144" i="10"/>
  <c r="C144" i="10" s="1"/>
  <c r="O141" i="10"/>
  <c r="F141" i="10" s="1"/>
  <c r="O144" i="10"/>
  <c r="O139" i="10"/>
  <c r="F139" i="10" s="1"/>
  <c r="W143" i="10"/>
  <c r="C143" i="10" s="1"/>
  <c r="O143" i="10"/>
  <c r="F143" i="10" s="1"/>
  <c r="W139" i="10"/>
  <c r="C139" i="10" s="1"/>
  <c r="O140" i="10"/>
  <c r="F140" i="10" s="1"/>
  <c r="W145" i="10"/>
  <c r="W140" i="10"/>
  <c r="C140" i="10" s="1"/>
  <c r="B77" i="10"/>
  <c r="D178" i="10"/>
  <c r="C180" i="10"/>
  <c r="D175" i="10"/>
  <c r="P144" i="10"/>
  <c r="N144" i="10"/>
  <c r="D176" i="10"/>
  <c r="C178" i="10"/>
  <c r="C179" i="10"/>
  <c r="X145" i="10"/>
  <c r="V145" i="10"/>
  <c r="G145" i="10"/>
  <c r="I145" i="10" s="1"/>
  <c r="J145" i="10" s="1"/>
  <c r="L145" i="10" s="1"/>
  <c r="M145" i="10" s="1"/>
  <c r="O145" i="10" s="1"/>
  <c r="D146" i="10"/>
  <c r="Q146" i="10" s="1"/>
  <c r="R146" i="10" s="1"/>
  <c r="T146" i="10" s="1"/>
  <c r="U146" i="10" s="1"/>
  <c r="C145" i="10" l="1"/>
  <c r="F144" i="10"/>
  <c r="V146" i="10"/>
  <c r="X146" i="10"/>
  <c r="N145" i="10"/>
  <c r="P145" i="10"/>
  <c r="W146" i="10"/>
  <c r="C146" i="10" s="1"/>
  <c r="G146" i="10"/>
  <c r="I146" i="10" s="1"/>
  <c r="J146" i="10" s="1"/>
  <c r="L146" i="10" s="1"/>
  <c r="M146" i="10" s="1"/>
  <c r="F145" i="10" l="1"/>
  <c r="N146" i="10"/>
  <c r="P146" i="10"/>
  <c r="O146" i="10"/>
  <c r="F146" i="10" l="1"/>
</calcChain>
</file>

<file path=xl/sharedStrings.xml><?xml version="1.0" encoding="utf-8"?>
<sst xmlns="http://schemas.openxmlformats.org/spreadsheetml/2006/main" count="1516" uniqueCount="1168">
  <si>
    <t>A</t>
  </si>
  <si>
    <t>Aperture</t>
  </si>
  <si>
    <t>cm</t>
  </si>
  <si>
    <t>Name</t>
  </si>
  <si>
    <t>GALEX</t>
  </si>
  <si>
    <t>Lam NUV</t>
  </si>
  <si>
    <t>Lam FUV</t>
  </si>
  <si>
    <t>NUV Flux</t>
  </si>
  <si>
    <t>NUV mag</t>
  </si>
  <si>
    <t>FUV Mag</t>
  </si>
  <si>
    <t>FUV Flux</t>
  </si>
  <si>
    <t>%</t>
  </si>
  <si>
    <t>SPT</t>
  </si>
  <si>
    <t xml:space="preserve">LHS 1749                 </t>
  </si>
  <si>
    <t xml:space="preserve">L 691-20                 </t>
  </si>
  <si>
    <t xml:space="preserve">M0             </t>
  </si>
  <si>
    <t>SPT  #</t>
  </si>
  <si>
    <t>RN</t>
  </si>
  <si>
    <t>e/pix</t>
  </si>
  <si>
    <t>Throughput</t>
  </si>
  <si>
    <t>Texpo</t>
  </si>
  <si>
    <t>s</t>
  </si>
  <si>
    <t>photons/sec/arcsec2</t>
  </si>
  <si>
    <t>http://galexgi.gsfc.nasa.gov/docs/galex/FAQ/counts_background.html; http://iopscience.iop.org/0067-0049/173/2/682/fulltext/</t>
  </si>
  <si>
    <t>e/s/pix</t>
  </si>
  <si>
    <t>Dark current temp</t>
  </si>
  <si>
    <t>K</t>
  </si>
  <si>
    <t>Operating temp.</t>
  </si>
  <si>
    <t>Jitter/psf</t>
  </si>
  <si>
    <t>Jitter noise</t>
  </si>
  <si>
    <t>Obscuration</t>
  </si>
  <si>
    <t>diameter fraction</t>
  </si>
  <si>
    <t>Effective diameter</t>
  </si>
  <si>
    <t>cts</t>
  </si>
  <si>
    <t>RN^2</t>
  </si>
  <si>
    <t>Flux density (ergs/sec/cm^2/A)</t>
  </si>
  <si>
    <t>Flux (ergs/sec/cm2)</t>
  </si>
  <si>
    <t>Poisson Noise</t>
  </si>
  <si>
    <t>Jitter Noise</t>
  </si>
  <si>
    <t>S/N</t>
  </si>
  <si>
    <t>Relationship between color and spt</t>
  </si>
  <si>
    <t>y=mx+b</t>
  </si>
  <si>
    <t>m</t>
  </si>
  <si>
    <t>spt/mag</t>
  </si>
  <si>
    <t>b</t>
  </si>
  <si>
    <t>mag</t>
  </si>
  <si>
    <t>uJy</t>
  </si>
  <si>
    <t>Target UV 1</t>
  </si>
  <si>
    <t>Target UV 2</t>
  </si>
  <si>
    <t>Pixel size</t>
  </si>
  <si>
    <t>um</t>
  </si>
  <si>
    <t>f/#</t>
  </si>
  <si>
    <t>Required focal length</t>
  </si>
  <si>
    <t>pixel size in sky</t>
  </si>
  <si>
    <t>rad</t>
  </si>
  <si>
    <t>arcsec</t>
  </si>
  <si>
    <t>pix</t>
  </si>
  <si>
    <t>sky background NUV</t>
  </si>
  <si>
    <t>sky background FUV</t>
  </si>
  <si>
    <t>ph/sec/pix</t>
  </si>
  <si>
    <t>SPARCS Detector</t>
  </si>
  <si>
    <t>SPARCS Optics</t>
  </si>
  <si>
    <t>SPARCS Ops</t>
  </si>
  <si>
    <t>SPARCS Filters</t>
  </si>
  <si>
    <t>Inputs</t>
  </si>
  <si>
    <t>Outputs</t>
  </si>
  <si>
    <t>TBD:</t>
  </si>
  <si>
    <t>Used to calculate how many pixels to add the RN and DC for</t>
  </si>
  <si>
    <t>Dark Current Noise</t>
  </si>
  <si>
    <t>RN noise</t>
  </si>
  <si>
    <t>Dark current at ops temperature</t>
  </si>
  <si>
    <t>Wavelength</t>
  </si>
  <si>
    <t>Threshold</t>
  </si>
  <si>
    <t>Baseline</t>
  </si>
  <si>
    <t>Capability</t>
  </si>
  <si>
    <t>Al-MgF2 Reflectance</t>
  </si>
  <si>
    <t>All reflections</t>
  </si>
  <si>
    <t>Detector with AR + delta dop</t>
  </si>
  <si>
    <t>Filter Transmission</t>
  </si>
  <si>
    <t>Total Throughput</t>
  </si>
  <si>
    <t>Galex</t>
  </si>
  <si>
    <t>Total</t>
  </si>
  <si>
    <t>Optics</t>
  </si>
  <si>
    <t>Detector</t>
  </si>
  <si>
    <t>SPEAR/GALEX</t>
  </si>
  <si>
    <t>M3</t>
  </si>
  <si>
    <t>M0</t>
  </si>
  <si>
    <t>NUV</t>
  </si>
  <si>
    <t>Reflection Efficiency</t>
  </si>
  <si>
    <t>Two reflections</t>
  </si>
  <si>
    <t>Constants</t>
  </si>
  <si>
    <t>h</t>
  </si>
  <si>
    <t>m2 kg /s</t>
  </si>
  <si>
    <t>c</t>
  </si>
  <si>
    <t>m/s</t>
  </si>
  <si>
    <t>Nyquist sampling has 4.88 pixels across the PSF diameter</t>
  </si>
  <si>
    <t>Materion 280-40</t>
  </si>
  <si>
    <t>Source counts (ph)</t>
  </si>
  <si>
    <t>Source counts (ph/s)</t>
  </si>
  <si>
    <t>HIP 23418</t>
  </si>
  <si>
    <t>BD+20 1790</t>
  </si>
  <si>
    <t>BD-13 6424</t>
  </si>
  <si>
    <t>GJ 436</t>
  </si>
  <si>
    <t>K2-3 (d)</t>
  </si>
  <si>
    <t>M1e</t>
  </si>
  <si>
    <t>M4.5</t>
  </si>
  <si>
    <t>M4</t>
  </si>
  <si>
    <t>M1.5</t>
  </si>
  <si>
    <t>M3V</t>
  </si>
  <si>
    <t>K7</t>
  </si>
  <si>
    <t>M2.0</t>
  </si>
  <si>
    <t>M3.5</t>
  </si>
  <si>
    <t>M0Ve</t>
  </si>
  <si>
    <t>[OII] at 2471A</t>
  </si>
  <si>
    <t>ph/s/cm2/sr</t>
  </si>
  <si>
    <t>ergs/cm2/s/arcsec2</t>
  </si>
  <si>
    <t>ph</t>
  </si>
  <si>
    <t>Materion 200_40 x Detector at 2471</t>
  </si>
  <si>
    <t>Red Leak noise</t>
  </si>
  <si>
    <t>Fraction of out of band flux, in terms of measured flux</t>
  </si>
  <si>
    <t xml:space="preserve">AU Mic </t>
  </si>
  <si>
    <t xml:space="preserve">AD Leo </t>
  </si>
  <si>
    <t xml:space="preserve">GJ 338 A </t>
  </si>
  <si>
    <t>M0V</t>
  </si>
  <si>
    <t>TWA 7</t>
  </si>
  <si>
    <t>M1</t>
  </si>
  <si>
    <t xml:space="preserve">Gl  411     </t>
  </si>
  <si>
    <t>HIP 12545</t>
  </si>
  <si>
    <t>DS Leo</t>
  </si>
  <si>
    <t>AG Tri</t>
  </si>
  <si>
    <t xml:space="preserve">Gl  880     </t>
  </si>
  <si>
    <t xml:space="preserve">Gl  729     </t>
  </si>
  <si>
    <t>TYC 9073-0762</t>
  </si>
  <si>
    <t>LP 984-91</t>
  </si>
  <si>
    <t>Gl  832</t>
  </si>
  <si>
    <t>M2/3</t>
  </si>
  <si>
    <t>LP 984-92</t>
  </si>
  <si>
    <t>M5 IV</t>
  </si>
  <si>
    <t xml:space="preserve">GJ 338 B </t>
  </si>
  <si>
    <t>BD+30 397B</t>
  </si>
  <si>
    <t>PSF</t>
  </si>
  <si>
    <t>QE * Filter Trans</t>
  </si>
  <si>
    <t>Activity factor (Scaling of flux from 2267 to 2800)</t>
  </si>
  <si>
    <t>Linear interpolation from FUV, NUV. This is valid for wavelengths between FUV and NUV</t>
  </si>
  <si>
    <t>HIP 12545 (Beta Pic)</t>
  </si>
  <si>
    <t>CC Eri</t>
  </si>
  <si>
    <t>AT Mic A</t>
  </si>
  <si>
    <t>04000382-2902165</t>
  </si>
  <si>
    <t>HD 160934</t>
  </si>
  <si>
    <t>02414683-5259523</t>
  </si>
  <si>
    <t>HD 217379</t>
  </si>
  <si>
    <t xml:space="preserve">Gl  809     </t>
  </si>
  <si>
    <t>CD-61 1439</t>
  </si>
  <si>
    <t>02303239-4342232</t>
  </si>
  <si>
    <t xml:space="preserve">GJ 9809                  </t>
  </si>
  <si>
    <t>GJ 3470</t>
  </si>
  <si>
    <t>GJ 1132</t>
  </si>
  <si>
    <t>GJ 1214</t>
  </si>
  <si>
    <t>Proxima</t>
  </si>
  <si>
    <t xml:space="preserve">FK Aqr                </t>
  </si>
  <si>
    <t>M2</t>
  </si>
  <si>
    <t>K7.2</t>
  </si>
  <si>
    <t>K7Ve</t>
  </si>
  <si>
    <t>K7.7</t>
  </si>
  <si>
    <t>M0.5</t>
  </si>
  <si>
    <t>K7V(e)</t>
  </si>
  <si>
    <t>M0.3</t>
  </si>
  <si>
    <t>M5.5</t>
  </si>
  <si>
    <t>Reference Lam</t>
  </si>
  <si>
    <t>Secondary diameter</t>
  </si>
  <si>
    <t>Diffraction limited Airy Diameter (2.44 Lam*f/D)</t>
  </si>
  <si>
    <t>(Nyquist is 2)</t>
  </si>
  <si>
    <t>Jitter beta</t>
  </si>
  <si>
    <t>System Jitter (1 sig)</t>
  </si>
  <si>
    <t>Jitter PSF (FWHM)</t>
  </si>
  <si>
    <t>Sampling</t>
  </si>
  <si>
    <t>Q value PSF (Lam/D)/(pix/f)</t>
  </si>
  <si>
    <t>Number of pixels within the first Airy diameter (beta=2.44Q)</t>
  </si>
  <si>
    <t>Blur spot size (FWHM)</t>
  </si>
  <si>
    <t>Jitter</t>
  </si>
  <si>
    <t>Combo</t>
  </si>
  <si>
    <t>Combo beta</t>
  </si>
  <si>
    <t>Noises</t>
  </si>
  <si>
    <t>Footprint (Area of combo)</t>
  </si>
  <si>
    <t>Flux density (uJy) at Filter</t>
  </si>
  <si>
    <t>Activity factor (Scaling from interpolated GALEX flux)</t>
  </si>
  <si>
    <t>Dark Current @ 20 C</t>
  </si>
  <si>
    <t>TWA 7 *</t>
  </si>
  <si>
    <t>BD-13 6424 *</t>
  </si>
  <si>
    <t>AT Mic A *</t>
  </si>
  <si>
    <t>AU Mic *</t>
  </si>
  <si>
    <t>HIP 23418 *</t>
  </si>
  <si>
    <t>AG Tri *</t>
  </si>
  <si>
    <t>TYC 9073-0762 *</t>
  </si>
  <si>
    <t>AD Leo *</t>
  </si>
  <si>
    <t>BD+20 1790 *</t>
  </si>
  <si>
    <t>DS Leo *</t>
  </si>
  <si>
    <t>GJ 338 A *</t>
  </si>
  <si>
    <t>GJ 338 B *</t>
  </si>
  <si>
    <t xml:space="preserve">Gl  411  *   </t>
  </si>
  <si>
    <t>Gl  880  *</t>
  </si>
  <si>
    <t xml:space="preserve">Gl  729  *  </t>
  </si>
  <si>
    <t>GJ 436 *</t>
  </si>
  <si>
    <t>GJ 3470 *</t>
  </si>
  <si>
    <t>K2-3 (d) *</t>
  </si>
  <si>
    <t>Gl  832 *</t>
  </si>
  <si>
    <t>Proxima *</t>
  </si>
  <si>
    <t>HIP 50156</t>
  </si>
  <si>
    <t>M0.7</t>
  </si>
  <si>
    <t>AF Psc</t>
  </si>
  <si>
    <t xml:space="preserve">M4.5     </t>
  </si>
  <si>
    <t>TYC 1766-1431-1</t>
  </si>
  <si>
    <t>GJ 3810</t>
  </si>
  <si>
    <t>HIP 50156 *</t>
  </si>
  <si>
    <t>AF Psc *</t>
  </si>
  <si>
    <t>TYC 1766-1431-1 *</t>
  </si>
  <si>
    <t>GJ 3810 *</t>
  </si>
  <si>
    <t>FUV</t>
  </si>
  <si>
    <t>Test</t>
  </si>
  <si>
    <t>Version</t>
  </si>
  <si>
    <t>Date</t>
  </si>
  <si>
    <t>Mod.</t>
  </si>
  <si>
    <t>Ardila</t>
  </si>
  <si>
    <t>Comment</t>
  </si>
  <si>
    <t>General re-org; Updated BCT spec to 7"</t>
  </si>
  <si>
    <t>MUSCLES</t>
  </si>
  <si>
    <t>GJ1214</t>
  </si>
  <si>
    <t>M4.5V</t>
  </si>
  <si>
    <t>SpT</t>
  </si>
  <si>
    <t>Active?</t>
  </si>
  <si>
    <t>No</t>
  </si>
  <si>
    <t>Canonical?</t>
  </si>
  <si>
    <t>GJ876</t>
  </si>
  <si>
    <t>GJ436</t>
  </si>
  <si>
    <t>GJ581</t>
  </si>
  <si>
    <t>GJ667C</t>
  </si>
  <si>
    <t>GJ176</t>
  </si>
  <si>
    <t>GJ832</t>
  </si>
  <si>
    <t>HD85512</t>
  </si>
  <si>
    <t>HD40307</t>
  </si>
  <si>
    <t>HD97658</t>
  </si>
  <si>
    <t>epsEri</t>
  </si>
  <si>
    <t>M5V</t>
  </si>
  <si>
    <t>M3.5V</t>
  </si>
  <si>
    <t>M1.5V</t>
  </si>
  <si>
    <t>M2.5V</t>
  </si>
  <si>
    <t>K6V</t>
  </si>
  <si>
    <t>K2.5V</t>
  </si>
  <si>
    <t>K1V</t>
  </si>
  <si>
    <t>K2V</t>
  </si>
  <si>
    <t>Proxima (GJ551)</t>
  </si>
  <si>
    <t>M5.5V</t>
  </si>
  <si>
    <t>Other</t>
  </si>
  <si>
    <t>AU Mic</t>
  </si>
  <si>
    <t>y</t>
  </si>
  <si>
    <t>Active Models</t>
  </si>
  <si>
    <t>Photosphere</t>
  </si>
  <si>
    <t>Low Chromosphere</t>
  </si>
  <si>
    <t>High Chromosphere</t>
  </si>
  <si>
    <t>    11.1394</t>
  </si>
  <si>
    <t>    11.3805</t>
  </si>
  <si>
    <t>    11.6081</t>
  </si>
  <si>
    <t>    11.8209</t>
  </si>
  <si>
    <t>    12.0176</t>
  </si>
  <si>
    <t>    12.1974</t>
  </si>
  <si>
    <t>    12.3596</t>
  </si>
  <si>
    <t>    12.5038</t>
  </si>
  <si>
    <t>    12.6299</t>
  </si>
  <si>
    <t>    12.7378</t>
  </si>
  <si>
    <t>    12.8279</t>
  </si>
  <si>
    <t>    12.9006</t>
  </si>
  <si>
    <t>    12.9567</t>
  </si>
  <si>
    <t>    12.9969</t>
  </si>
  <si>
    <t>    13.0221</t>
  </si>
  <si>
    <t>    13.0333</t>
  </si>
  <si>
    <t>    13.0317</t>
  </si>
  <si>
    <t>    13.0183</t>
  </si>
  <si>
    <t>    12.9942</t>
  </si>
  <si>
    <t>    12.9605</t>
  </si>
  <si>
    <t>    12.9185</t>
  </si>
  <si>
    <t>    12.869 </t>
  </si>
  <si>
    <t>    12.8131</t>
  </si>
  <si>
    <t>    12.7518</t>
  </si>
  <si>
    <t>    12.6859</t>
  </si>
  <si>
    <t>    12.6163</t>
  </si>
  <si>
    <t>    12.5438</t>
  </si>
  <si>
    <t>    12.4691</t>
  </si>
  <si>
    <t>    12.3927</t>
  </si>
  <si>
    <t>    12.3153</t>
  </si>
  <si>
    <t>    12.2374</t>
  </si>
  <si>
    <t>    12.1594</t>
  </si>
  <si>
    <t>    12.0818</t>
  </si>
  <si>
    <t>    12.0049</t>
  </si>
  <si>
    <t>    11.929 </t>
  </si>
  <si>
    <t>    11.8544</t>
  </si>
  <si>
    <t>    11.7813</t>
  </si>
  <si>
    <t>    11.7099</t>
  </si>
  <si>
    <t>    11.6404</t>
  </si>
  <si>
    <t>    11.5729</t>
  </si>
  <si>
    <t>    11.5075</t>
  </si>
  <si>
    <t>    11.3468</t>
  </si>
  <si>
    <t>    11.1906</t>
  </si>
  <si>
    <t>    11.039 </t>
  </si>
  <si>
    <t>    10.8921</t>
  </si>
  <si>
    <t>    10.7499</t>
  </si>
  <si>
    <t>    10.6451</t>
  </si>
  <si>
    <t>    10.5447</t>
  </si>
  <si>
    <t>    10.4486</t>
  </si>
  <si>
    <t>    10.3566</t>
  </si>
  <si>
    <t>    10.2688</t>
  </si>
  <si>
    <t>    10.3236</t>
  </si>
  <si>
    <t>    10.3798</t>
  </si>
  <si>
    <t>    10.4375</t>
  </si>
  <si>
    <t>    10.4968</t>
  </si>
  <si>
    <t>    10.5578</t>
  </si>
  <si>
    <t>    10.611 </t>
  </si>
  <si>
    <t>    10.6663</t>
  </si>
  <si>
    <t>    10.7235</t>
  </si>
  <si>
    <t>    10.7828</t>
  </si>
  <si>
    <t>    10.8442</t>
  </si>
  <si>
    <t>    10.7791</t>
  </si>
  <si>
    <t>    10.7172</t>
  </si>
  <si>
    <t>    10.6583</t>
  </si>
  <si>
    <t>    10.6025</t>
  </si>
  <si>
    <t>    10.5495</t>
  </si>
  <si>
    <t>    10.522 </t>
  </si>
  <si>
    <t>    10.4977</t>
  </si>
  <si>
    <t>    10.4765</t>
  </si>
  <si>
    <t>    10.4583</t>
  </si>
  <si>
    <t>    10.4431</t>
  </si>
  <si>
    <t>    10.5139</t>
  </si>
  <si>
    <t>    10.5867</t>
  </si>
  <si>
    <t>    10.6613</t>
  </si>
  <si>
    <t>    10.7379</t>
  </si>
  <si>
    <t>    10.8163</t>
  </si>
  <si>
    <t>    10.9389</t>
  </si>
  <si>
    <t>    11.0629</t>
  </si>
  <si>
    <t>    11.1883</t>
  </si>
  <si>
    <t>    11.3153</t>
  </si>
  <si>
    <t>    11.4437</t>
  </si>
  <si>
    <t>    11.587 </t>
  </si>
  <si>
    <t>    11.7318</t>
  </si>
  <si>
    <t>    11.8781</t>
  </si>
  <si>
    <t>    12.0258</t>
  </si>
  <si>
    <t>    12.1752</t>
  </si>
  <si>
    <t>    12.326 </t>
  </si>
  <si>
    <t>    12.4785</t>
  </si>
  <si>
    <t>    12.6325</t>
  </si>
  <si>
    <t>    12.7882</t>
  </si>
  <si>
    <t>    12.9456</t>
  </si>
  <si>
    <t>    13.7709</t>
  </si>
  <si>
    <t>    14.617 </t>
  </si>
  <si>
    <t>    15.486 </t>
  </si>
  <si>
    <t>    16.3801</t>
  </si>
  <si>
    <t>    17.3016</t>
  </si>
  <si>
    <t>    18.2526</t>
  </si>
  <si>
    <t>    19.2348</t>
  </si>
  <si>
    <t>    20.2494</t>
  </si>
  <si>
    <t>    21.2978</t>
  </si>
  <si>
    <t>    22.381 </t>
  </si>
  <si>
    <t>    23.5082</t>
  </si>
  <si>
    <t>    24.6721</t>
  </si>
  <si>
    <t>    25.8729</t>
  </si>
  <si>
    <t>    27.1107</t>
  </si>
  <si>
    <t>    28.385 </t>
  </si>
  <si>
    <t>    29.7135</t>
  </si>
  <si>
    <t>    31.0782</t>
  </si>
  <si>
    <t>    32.4779</t>
  </si>
  <si>
    <t>    33.9113</t>
  </si>
  <si>
    <t>    35.3766</t>
  </si>
  <si>
    <t>    36.8981</t>
  </si>
  <si>
    <t>    38.4482</t>
  </si>
  <si>
    <t>    40.024 </t>
  </si>
  <si>
    <t>    41.6223</t>
  </si>
  <si>
    <t>    43.2398</t>
  </si>
  <si>
    <t>    44.913 </t>
  </si>
  <si>
    <t>    46.5985</t>
  </si>
  <si>
    <t>    48.2919</t>
  </si>
  <si>
    <t>    49.9882</t>
  </si>
  <si>
    <t>    51.6826</t>
  </si>
  <si>
    <t>    53.5313</t>
  </si>
  <si>
    <t>    55.367 </t>
  </si>
  <si>
    <t>    57.1833</t>
  </si>
  <si>
    <t>    58.9739</t>
  </si>
  <si>
    <t>    60.7321</t>
  </si>
  <si>
    <t>    62.7598</t>
  </si>
  <si>
    <t>    64.7366</t>
  </si>
  <si>
    <t>    66.6554</t>
  </si>
  <si>
    <t>    68.5098</t>
  </si>
  <si>
    <t>    70.294 </t>
  </si>
  <si>
    <t>    71.8331</t>
  </si>
  <si>
    <t>    73.3087</t>
  </si>
  <si>
    <t>    74.7177</t>
  </si>
  <si>
    <t>    76.0579</t>
  </si>
  <si>
    <t>    77.3277</t>
  </si>
  <si>
    <t>    78.0517</t>
  </si>
  <si>
    <t>    78.7175</t>
  </si>
  <si>
    <t>    79.3243</t>
  </si>
  <si>
    <t>    79.8773</t>
  </si>
  <si>
    <t>    80.3938</t>
  </si>
  <si>
    <t>    80.6984</t>
  </si>
  <si>
    <t>    80.9639</t>
  </si>
  <si>
    <t>    81.1911</t>
  </si>
  <si>
    <t>    81.381 </t>
  </si>
  <si>
    <t>    81.5342</t>
  </si>
  <si>
    <t>    81.6784</t>
  </si>
  <si>
    <t>    81.7786</t>
  </si>
  <si>
    <t>    81.8355</t>
  </si>
  <si>
    <t>    81.8498</t>
  </si>
  <si>
    <t>    81.8226</t>
  </si>
  <si>
    <t>    81.7791</t>
  </si>
  <si>
    <t>    81.691 </t>
  </si>
  <si>
    <t>    81.5588</t>
  </si>
  <si>
    <t>    81.383 </t>
  </si>
  <si>
    <t>    81.1643</t>
  </si>
  <si>
    <t>    80.8943</t>
  </si>
  <si>
    <t>    80.5746</t>
  </si>
  <si>
    <t>    80.2068</t>
  </si>
  <si>
    <t>    79.7925</t>
  </si>
  <si>
    <t>    79.3338</t>
  </si>
  <si>
    <t>    78.8746</t>
  </si>
  <si>
    <t>    78.3669</t>
  </si>
  <si>
    <t>    77.8136</t>
  </si>
  <si>
    <t>    77.218 </t>
  </si>
  <si>
    <t>    76.5832</t>
  </si>
  <si>
    <t>    76.0466</t>
  </si>
  <si>
    <t>    75.4581</t>
  </si>
  <si>
    <t>    74.823 </t>
  </si>
  <si>
    <t>    74.1461</t>
  </si>
  <si>
    <t>    73.4321</t>
  </si>
  <si>
    <t>    73.0296</t>
  </si>
  <si>
    <t>    72.5654</t>
  </si>
  <si>
    <t>    72.0469</t>
  </si>
  <si>
    <t>    71.4808</t>
  </si>
  <si>
    <t>    70.8733</t>
  </si>
  <si>
    <t>    70.7302</t>
  </si>
  <si>
    <t>    70.5087</t>
  </si>
  <si>
    <t>    70.218 </t>
  </si>
  <si>
    <t>    69.8662</t>
  </si>
  <si>
    <t>    69.4608</t>
  </si>
  <si>
    <t>    69.3908</t>
  </si>
  <si>
    <t>    69.242 </t>
  </si>
  <si>
    <t>    69.0235</t>
  </si>
  <si>
    <t>    68.7431</t>
  </si>
  <si>
    <t>    68.408 </t>
  </si>
  <si>
    <t>    68.7091</t>
  </si>
  <si>
    <t>    68.9009</t>
  </si>
  <si>
    <t>    68.993 </t>
  </si>
  <si>
    <t>    68.9944</t>
  </si>
  <si>
    <t>    68.9135</t>
  </si>
  <si>
    <t>    69.4062</t>
  </si>
  <si>
    <t>    69.8321</t>
  </si>
  <si>
    <t>    70.1925</t>
  </si>
  <si>
    <t>    70.4889</t>
  </si>
  <si>
    <t>    70.723 </t>
  </si>
  <si>
    <t>    71.0523</t>
  </si>
  <si>
    <t>    71.3604</t>
  </si>
  <si>
    <t>    71.6466</t>
  </si>
  <si>
    <t>    71.9105</t>
  </si>
  <si>
    <t>    72.1516</t>
  </si>
  <si>
    <t>    72.3136</t>
  </si>
  <si>
    <t>    72.4701</t>
  </si>
  <si>
    <t>    72.6209</t>
  </si>
  <si>
    <t>    72.7657</t>
  </si>
  <si>
    <t>    72.9043</t>
  </si>
  <si>
    <t>    72.9367</t>
  </si>
  <si>
    <t>    72.9681</t>
  </si>
  <si>
    <t>    72.9984</t>
  </si>
  <si>
    <t>    73.0276</t>
  </si>
  <si>
    <t>    73.0556</t>
  </si>
  <si>
    <t>    73.0054</t>
  </si>
  <si>
    <t>    72.9556</t>
  </si>
  <si>
    <t>    72.9062</t>
  </si>
  <si>
    <t>    72.857 </t>
  </si>
  <si>
    <t>    72.808 </t>
  </si>
  <si>
    <t>    72.7045</t>
  </si>
  <si>
    <t>    72.6018</t>
  </si>
  <si>
    <t>    72.4999</t>
  </si>
  <si>
    <t>    72.3989</t>
  </si>
  <si>
    <t>    72.2985</t>
  </si>
  <si>
    <t>    72.1704</t>
  </si>
  <si>
    <t>    72.0431</t>
  </si>
  <si>
    <t>    71.9166</t>
  </si>
  <si>
    <t>    71.791 </t>
  </si>
  <si>
    <t>    71.6662</t>
  </si>
  <si>
    <t>    71.5101</t>
  </si>
  <si>
    <t>    71.355 </t>
  </si>
  <si>
    <t>    71.2009</t>
  </si>
  <si>
    <t>    71.0478</t>
  </si>
  <si>
    <t>    70.8957</t>
  </si>
  <si>
    <t>    70.7153</t>
  </si>
  <si>
    <t>    70.5361</t>
  </si>
  <si>
    <t>    70.3579</t>
  </si>
  <si>
    <t>    70.1809</t>
  </si>
  <si>
    <t>    70.0049</t>
  </si>
  <si>
    <t>    69.7992</t>
  </si>
  <si>
    <t>    69.5947</t>
  </si>
  <si>
    <t>    69.3915</t>
  </si>
  <si>
    <t>    69.1896</t>
  </si>
  <si>
    <t>    68.9888</t>
  </si>
  <si>
    <t>    68.7589</t>
  </si>
  <si>
    <t>    68.5303</t>
  </si>
  <si>
    <t>    68.303 </t>
  </si>
  <si>
    <t>    68.0771</t>
  </si>
  <si>
    <t>    67.8525</t>
  </si>
  <si>
    <t>    67.5718</t>
  </si>
  <si>
    <t>    67.2929</t>
  </si>
  <si>
    <t>    67.0158</t>
  </si>
  <si>
    <t>    66.7404</t>
  </si>
  <si>
    <t>    66.4668</t>
  </si>
  <si>
    <t>    66.0832</t>
  </si>
  <si>
    <t>    65.7027</t>
  </si>
  <si>
    <t>    65.325 </t>
  </si>
  <si>
    <t>    64.9503</t>
  </si>
  <si>
    <t>    64.5786</t>
  </si>
  <si>
    <t>    64.0499</t>
  </si>
  <si>
    <t>    63.5263</t>
  </si>
  <si>
    <t>    63.0077</t>
  </si>
  <si>
    <t>    62.4942</t>
  </si>
  <si>
    <t>    61.9857</t>
  </si>
  <si>
    <t>    61.4798</t>
  </si>
  <si>
    <t>    60.9691</t>
  </si>
  <si>
    <t>    60.4543</t>
  </si>
  <si>
    <t>    59.9365</t>
  </si>
  <si>
    <t>    59.4163</t>
  </si>
  <si>
    <t>    59.1966</t>
  </si>
  <si>
    <t>    58.9482</t>
  </si>
  <si>
    <t>    58.6728</t>
  </si>
  <si>
    <t>    58.3718</t>
  </si>
  <si>
    <t>    58.0468</t>
  </si>
  <si>
    <t>    58.1358</t>
  </si>
  <si>
    <t>    58.1956</t>
  </si>
  <si>
    <t>    58.2254</t>
  </si>
  <si>
    <t>    58.2251</t>
  </si>
  <si>
    <t>    58.1941</t>
  </si>
  <si>
    <t>    58.4427</t>
  </si>
  <si>
    <t>    58.6794</t>
  </si>
  <si>
    <t>    58.9033</t>
  </si>
  <si>
    <t>    59.1133</t>
  </si>
  <si>
    <t>    59.3087</t>
  </si>
  <si>
    <t>    59.5674</t>
  </si>
  <si>
    <t>    59.8248</t>
  </si>
  <si>
    <t>    60.0806</t>
  </si>
  <si>
    <t>    60.3346</t>
  </si>
  <si>
    <t>    60.5863</t>
  </si>
  <si>
    <t>    60.787 </t>
  </si>
  <si>
    <t>    60.9887</t>
  </si>
  <si>
    <t>    61.1913</t>
  </si>
  <si>
    <t>    61.3947</t>
  </si>
  <si>
    <t>    61.5988</t>
  </si>
  <si>
    <t>    61.7524</t>
  </si>
  <si>
    <t>    61.9071</t>
  </si>
  <si>
    <t>    62.0628</t>
  </si>
  <si>
    <t>    62.2197</t>
  </si>
  <si>
    <t>    62.3775</t>
  </si>
  <si>
    <t>    62.5055</t>
  </si>
  <si>
    <t>    62.6346</t>
  </si>
  <si>
    <t>    62.7649</t>
  </si>
  <si>
    <t>    62.8962</t>
  </si>
  <si>
    <t>    63.0285</t>
  </si>
  <si>
    <t>    63.1433</t>
  </si>
  <si>
    <t>    63.2592</t>
  </si>
  <si>
    <t>    63.3762</t>
  </si>
  <si>
    <t>    63.4942</t>
  </si>
  <si>
    <t>    63.6133</t>
  </si>
  <si>
    <t>    63.7166</t>
  </si>
  <si>
    <t>    63.8209</t>
  </si>
  <si>
    <t>    63.9264</t>
  </si>
  <si>
    <t>    64.0329</t>
  </si>
  <si>
    <t>    64.1404</t>
  </si>
  <si>
    <t>    64.2336</t>
  </si>
  <si>
    <t>    64.3278</t>
  </si>
  <si>
    <t>    64.423 </t>
  </si>
  <si>
    <t>    64.5192</t>
  </si>
  <si>
    <t>    64.6165</t>
  </si>
  <si>
    <t>    64.7002</t>
  </si>
  <si>
    <t>    64.7849</t>
  </si>
  <si>
    <t>    64.8705</t>
  </si>
  <si>
    <t>    64.9571</t>
  </si>
  <si>
    <t>    65.0447</t>
  </si>
  <si>
    <t>    65.1192</t>
  </si>
  <si>
    <t>    65.1946</t>
  </si>
  <si>
    <t>    65.271 </t>
  </si>
  <si>
    <t>    65.3482</t>
  </si>
  <si>
    <t>    65.4263</t>
  </si>
  <si>
    <t>    65.4922</t>
  </si>
  <si>
    <t>    65.5589</t>
  </si>
  <si>
    <t>    65.6264</t>
  </si>
  <si>
    <t>    65.6947</t>
  </si>
  <si>
    <t>    65.7638</t>
  </si>
  <si>
    <t>    65.8217</t>
  </si>
  <si>
    <t>    65.8803</t>
  </si>
  <si>
    <t>    65.9397</t>
  </si>
  <si>
    <t>    65.9998</t>
  </si>
  <si>
    <t>    66.0606</t>
  </si>
  <si>
    <t>    66.1111</t>
  </si>
  <si>
    <t>    66.1623</t>
  </si>
  <si>
    <t>    66.2142</t>
  </si>
  <si>
    <t>    66.2667</t>
  </si>
  <si>
    <t>    66.3199</t>
  </si>
  <si>
    <t>    66.3641</t>
  </si>
  <si>
    <t>    66.409 </t>
  </si>
  <si>
    <t>    66.4544</t>
  </si>
  <si>
    <t>    66.5005</t>
  </si>
  <si>
    <t>    66.5472</t>
  </si>
  <si>
    <t>    66.5859</t>
  </si>
  <si>
    <t>    66.6252</t>
  </si>
  <si>
    <t>    66.6651</t>
  </si>
  <si>
    <t>    66.7055</t>
  </si>
  <si>
    <t>    66.7465</t>
  </si>
  <si>
    <t>    66.7819</t>
  </si>
  <si>
    <t>    66.8179</t>
  </si>
  <si>
    <t>    66.8543</t>
  </si>
  <si>
    <t>    66.8913</t>
  </si>
  <si>
    <t>    66.9287</t>
  </si>
  <si>
    <t>    66.9603</t>
  </si>
  <si>
    <t>    66.9923</t>
  </si>
  <si>
    <t>    67.0248</t>
  </si>
  <si>
    <t>    67.0578</t>
  </si>
  <si>
    <t>    67.0912</t>
  </si>
  <si>
    <t>    67.1195</t>
  </si>
  <si>
    <t>    67.1482</t>
  </si>
  <si>
    <t>    67.1774</t>
  </si>
  <si>
    <t>    67.2069</t>
  </si>
  <si>
    <t>    67.2369</t>
  </si>
  <si>
    <t>    67.2625</t>
  </si>
  <si>
    <t>    67.2885</t>
  </si>
  <si>
    <t>    67.3148</t>
  </si>
  <si>
    <t>    67.3416</t>
  </si>
  <si>
    <t>    67.3687</t>
  </si>
  <si>
    <t>    67.3919</t>
  </si>
  <si>
    <t>    67.4154</t>
  </si>
  <si>
    <t>    67.4393</t>
  </si>
  <si>
    <t>    67.4636</t>
  </si>
  <si>
    <t>    67.4882</t>
  </si>
  <si>
    <t>    67.5094</t>
  </si>
  <si>
    <t>    67.5309</t>
  </si>
  <si>
    <t>    67.5527</t>
  </si>
  <si>
    <t>    67.5749</t>
  </si>
  <si>
    <t>    67.5974</t>
  </si>
  <si>
    <t>    67.6167</t>
  </si>
  <si>
    <t>    67.6364</t>
  </si>
  <si>
    <t>    67.6564</t>
  </si>
  <si>
    <t>    67.6767</t>
  </si>
  <si>
    <t>    67.6973</t>
  </si>
  <si>
    <t>    67.7151</t>
  </si>
  <si>
    <t>    67.7331</t>
  </si>
  <si>
    <t>    67.7515</t>
  </si>
  <si>
    <t>    67.7701</t>
  </si>
  <si>
    <t>    67.7891</t>
  </si>
  <si>
    <t>    67.8055</t>
  </si>
  <si>
    <t>    67.8222</t>
  </si>
  <si>
    <t>    67.8392</t>
  </si>
  <si>
    <t>    67.8565</t>
  </si>
  <si>
    <t>    67.8741</t>
  </si>
  <si>
    <t>    67.8892</t>
  </si>
  <si>
    <t>    67.9046</t>
  </si>
  <si>
    <t>    67.9203</t>
  </si>
  <si>
    <t>    67.9363</t>
  </si>
  <si>
    <t>    67.9525</t>
  </si>
  <si>
    <t>    67.9674</t>
  </si>
  <si>
    <t>    67.9825</t>
  </si>
  <si>
    <t>    67.9979</t>
  </si>
  <si>
    <t>    68.0135</t>
  </si>
  <si>
    <t>    68.0293</t>
  </si>
  <si>
    <t>    68.0431</t>
  </si>
  <si>
    <t>    68.057 </t>
  </si>
  <si>
    <t>    68.0712</t>
  </si>
  <si>
    <t>    68.0857</t>
  </si>
  <si>
    <t>    68.1003</t>
  </si>
  <si>
    <t>    68.1132</t>
  </si>
  <si>
    <t>    68.1263</t>
  </si>
  <si>
    <t>    68.1396</t>
  </si>
  <si>
    <t>    68.1532</t>
  </si>
  <si>
    <t>    68.1669</t>
  </si>
  <si>
    <t>    68.1789</t>
  </si>
  <si>
    <t>    68.191 </t>
  </si>
  <si>
    <t>    68.2034</t>
  </si>
  <si>
    <t>    68.2159</t>
  </si>
  <si>
    <t>    68.2287</t>
  </si>
  <si>
    <t>    68.2399</t>
  </si>
  <si>
    <t>    68.2514</t>
  </si>
  <si>
    <t>    68.263 </t>
  </si>
  <si>
    <t>    68.2749</t>
  </si>
  <si>
    <t>    68.2869</t>
  </si>
  <si>
    <t>    68.2975</t>
  </si>
  <si>
    <t>    68.3082</t>
  </si>
  <si>
    <t>    68.3191</t>
  </si>
  <si>
    <t xml:space="preserve">wavelength (nm) </t>
  </si>
  <si>
    <t>Transmittance</t>
  </si>
  <si>
    <t>Substrate T (15 um)</t>
  </si>
  <si>
    <t>QE (%)</t>
  </si>
  <si>
    <t>0.0001 </t>
  </si>
  <si>
    <t>0.0002 </t>
  </si>
  <si>
    <t>0.0003 </t>
  </si>
  <si>
    <t>0.0004 </t>
  </si>
  <si>
    <t>0.0005 </t>
  </si>
  <si>
    <t>0.0006 </t>
  </si>
  <si>
    <t>0.0007 </t>
  </si>
  <si>
    <t>0.0008 </t>
  </si>
  <si>
    <t>0.0009 </t>
  </si>
  <si>
    <t>0.0011 </t>
  </si>
  <si>
    <t>0.0012 </t>
  </si>
  <si>
    <t>0.0013 </t>
  </si>
  <si>
    <t>0.0014 </t>
  </si>
  <si>
    <t>0.0016 </t>
  </si>
  <si>
    <t>0.0017 </t>
  </si>
  <si>
    <t>0.0019 </t>
  </si>
  <si>
    <t>68.629 </t>
  </si>
  <si>
    <t>0.0021 </t>
  </si>
  <si>
    <t>0.0022 </t>
  </si>
  <si>
    <t>0.0025 </t>
  </si>
  <si>
    <t>0.0027 </t>
  </si>
  <si>
    <t>0.0029 </t>
  </si>
  <si>
    <t>68.664 </t>
  </si>
  <si>
    <t>0.0032 </t>
  </si>
  <si>
    <t>68.671 </t>
  </si>
  <si>
    <t>0.0034 </t>
  </si>
  <si>
    <t>0.0037 </t>
  </si>
  <si>
    <t>0.0041 </t>
  </si>
  <si>
    <t>0.0044 </t>
  </si>
  <si>
    <t>0.0048 </t>
  </si>
  <si>
    <t>0.0052 </t>
  </si>
  <si>
    <t>0.0056 </t>
  </si>
  <si>
    <t>68.723 </t>
  </si>
  <si>
    <t>0.0065 </t>
  </si>
  <si>
    <t>0.0076 </t>
  </si>
  <si>
    <t>0.0082 </t>
  </si>
  <si>
    <t>0.0088 </t>
  </si>
  <si>
    <t>0.0095 </t>
  </si>
  <si>
    <t>0.0102 </t>
  </si>
  <si>
    <t>0.0109 </t>
  </si>
  <si>
    <t>0.0118 </t>
  </si>
  <si>
    <t>68.777 </t>
  </si>
  <si>
    <t>0.0126 </t>
  </si>
  <si>
    <t>0.0135 </t>
  </si>
  <si>
    <t>0.0145 </t>
  </si>
  <si>
    <t>0.0155 </t>
  </si>
  <si>
    <t>0.0166 </t>
  </si>
  <si>
    <t>68.805 </t>
  </si>
  <si>
    <t>0.0178 </t>
  </si>
  <si>
    <t>0.0203 </t>
  </si>
  <si>
    <t>0.0217 </t>
  </si>
  <si>
    <t>0.0232 </t>
  </si>
  <si>
    <t>68.832 </t>
  </si>
  <si>
    <t>0.0247 </t>
  </si>
  <si>
    <t>68.837 </t>
  </si>
  <si>
    <t>0.0263 </t>
  </si>
  <si>
    <t>0.0299 </t>
  </si>
  <si>
    <t>0.0318 </t>
  </si>
  <si>
    <t>0.0338 </t>
  </si>
  <si>
    <t>0.0359 </t>
  </si>
  <si>
    <t>0.0382 </t>
  </si>
  <si>
    <t>0.0405 </t>
  </si>
  <si>
    <t>0.0431 </t>
  </si>
  <si>
    <t>0.0456 </t>
  </si>
  <si>
    <t>0.0484 </t>
  </si>
  <si>
    <t>0.0513 </t>
  </si>
  <si>
    <t>0.0543 </t>
  </si>
  <si>
    <t>0.0575 </t>
  </si>
  <si>
    <t>0.0608 </t>
  </si>
  <si>
    <t>68.913 </t>
  </si>
  <si>
    <t>0.0643 </t>
  </si>
  <si>
    <t>0.0718 </t>
  </si>
  <si>
    <t>0.0759 </t>
  </si>
  <si>
    <t>0.0801 </t>
  </si>
  <si>
    <t>0.0844 </t>
  </si>
  <si>
    <t>0.0939 </t>
  </si>
  <si>
    <t>0.1042 </t>
  </si>
  <si>
    <t>0.1096 </t>
  </si>
  <si>
    <t>0.1154 </t>
  </si>
  <si>
    <t>0.1214 </t>
  </si>
  <si>
    <t>0.1277 </t>
  </si>
  <si>
    <t>68.977 </t>
  </si>
  <si>
    <t>0.1341 </t>
  </si>
  <si>
    <t>0.1408 </t>
  </si>
  <si>
    <t>0.1479 </t>
  </si>
  <si>
    <t>0.1552 </t>
  </si>
  <si>
    <t>0.1708 </t>
  </si>
  <si>
    <t>0.1876 </t>
  </si>
  <si>
    <t>0.1966 </t>
  </si>
  <si>
    <t>0.2155 </t>
  </si>
  <si>
    <t>0.2254 </t>
  </si>
  <si>
    <t>0.2358 </t>
  </si>
  <si>
    <t>0.2466 </t>
  </si>
  <si>
    <t>0.2579 </t>
  </si>
  <si>
    <t>0.2693 </t>
  </si>
  <si>
    <t>0.2812 </t>
  </si>
  <si>
    <t>0.2936 </t>
  </si>
  <si>
    <t>0.3065 </t>
  </si>
  <si>
    <t>0.3199 </t>
  </si>
  <si>
    <t>0.3335 </t>
  </si>
  <si>
    <t>0.3477 </t>
  </si>
  <si>
    <t>0.3624 </t>
  </si>
  <si>
    <t>69.068 </t>
  </si>
  <si>
    <t>0.3777 </t>
  </si>
  <si>
    <t>0.3936 </t>
  </si>
  <si>
    <t>0.4096 </t>
  </si>
  <si>
    <t>0.4263 </t>
  </si>
  <si>
    <t>0.4436 </t>
  </si>
  <si>
    <t>0.4615 </t>
  </si>
  <si>
    <t>0.4801 </t>
  </si>
  <si>
    <t>0.4989 </t>
  </si>
  <si>
    <t>0.5184 </t>
  </si>
  <si>
    <t>0.5386 </t>
  </si>
  <si>
    <t>0.5595 </t>
  </si>
  <si>
    <t>0.5812 </t>
  </si>
  <si>
    <t>0.6256 </t>
  </si>
  <si>
    <t>0.6732 </t>
  </si>
  <si>
    <t>0.6982 </t>
  </si>
  <si>
    <t>0.7234 </t>
  </si>
  <si>
    <t>0.7494 </t>
  </si>
  <si>
    <t>0.7763 </t>
  </si>
  <si>
    <t>69.136 </t>
  </si>
  <si>
    <t>0.8041 </t>
  </si>
  <si>
    <t>0.8328 </t>
  </si>
  <si>
    <t>0.8616 </t>
  </si>
  <si>
    <t>0.8914 </t>
  </si>
  <si>
    <t>0.9221 </t>
  </si>
  <si>
    <t>0.9538 </t>
  </si>
  <si>
    <t>0.9865 </t>
  </si>
  <si>
    <t>1.0193 </t>
  </si>
  <si>
    <t>1.0531 </t>
  </si>
  <si>
    <t>1.1239 </t>
  </si>
  <si>
    <t>1.1608 </t>
  </si>
  <si>
    <t>1.1979 </t>
  </si>
  <si>
    <t>1.2752 </t>
  </si>
  <si>
    <t>1.3156 </t>
  </si>
  <si>
    <t>1.3571 </t>
  </si>
  <si>
    <t>1.3988 </t>
  </si>
  <si>
    <t>1.4416 </t>
  </si>
  <si>
    <t>1.4856 </t>
  </si>
  <si>
    <t>1.5309 </t>
  </si>
  <si>
    <t>1.5774 </t>
  </si>
  <si>
    <t>1.6238 </t>
  </si>
  <si>
    <t>1.6716 </t>
  </si>
  <si>
    <t>1.7205 </t>
  </si>
  <si>
    <t>1.7708 </t>
  </si>
  <si>
    <t>1.8224 </t>
  </si>
  <si>
    <t>1.9269 </t>
  </si>
  <si>
    <t>1.9812 </t>
  </si>
  <si>
    <t>69.223 </t>
  </si>
  <si>
    <t>2.0368 </t>
  </si>
  <si>
    <t>2.0939 </t>
  </si>
  <si>
    <t>2.1508 </t>
  </si>
  <si>
    <t>69.231 </t>
  </si>
  <si>
    <t>2.2091 </t>
  </si>
  <si>
    <t>2.2688 </t>
  </si>
  <si>
    <t>2.33 </t>
  </si>
  <si>
    <t>2.3926 </t>
  </si>
  <si>
    <t>2.5189 </t>
  </si>
  <si>
    <t>2.5843 </t>
  </si>
  <si>
    <t>2.6511 </t>
  </si>
  <si>
    <t>2.7195 </t>
  </si>
  <si>
    <t>2.7878 </t>
  </si>
  <si>
    <t>2.8577 </t>
  </si>
  <si>
    <t>3.0766 </t>
  </si>
  <si>
    <t>3.1506 </t>
  </si>
  <si>
    <t>3.2262 </t>
  </si>
  <si>
    <t>3.3034 </t>
  </si>
  <si>
    <t>3.3823 </t>
  </si>
  <si>
    <t>3.4628 </t>
  </si>
  <si>
    <t>3.5429 </t>
  </si>
  <si>
    <t>3.6247 </t>
  </si>
  <si>
    <t>3.7081 </t>
  </si>
  <si>
    <t>3.7933 </t>
  </si>
  <si>
    <t>3.8801 </t>
  </si>
  <si>
    <t>3.9664 </t>
  </si>
  <si>
    <t>4.0544 </t>
  </si>
  <si>
    <t>4.1441 </t>
  </si>
  <si>
    <t>4.2355 </t>
  </si>
  <si>
    <t>4.3287 </t>
  </si>
  <si>
    <t>4.4211 </t>
  </si>
  <si>
    <t>4.5153 </t>
  </si>
  <si>
    <t>4.6112 </t>
  </si>
  <si>
    <t>4.7089 </t>
  </si>
  <si>
    <t>4.8084 </t>
  </si>
  <si>
    <t>5.0073 </t>
  </si>
  <si>
    <t>69.319 </t>
  </si>
  <si>
    <t>5.1094 </t>
  </si>
  <si>
    <t>5.2133 </t>
  </si>
  <si>
    <t>5.4241 </t>
  </si>
  <si>
    <t>5.6397 </t>
  </si>
  <si>
    <t>5.7503 </t>
  </si>
  <si>
    <t>5.8627 </t>
  </si>
  <si>
    <t>5.9737 </t>
  </si>
  <si>
    <t>6.0865 </t>
  </si>
  <si>
    <t>6.2011 </t>
  </si>
  <si>
    <t>69.343 </t>
  </si>
  <si>
    <t>6.3177 </t>
  </si>
  <si>
    <t>6.4361 </t>
  </si>
  <si>
    <t>6.6718 </t>
  </si>
  <si>
    <t>6.7925 </t>
  </si>
  <si>
    <t>7.0394 </t>
  </si>
  <si>
    <t>7.1625 </t>
  </si>
  <si>
    <t>7.2874 </t>
  </si>
  <si>
    <t>7.4142 </t>
  </si>
  <si>
    <t>7.5429 </t>
  </si>
  <si>
    <t>7.6735 </t>
  </si>
  <si>
    <t>7.8025 </t>
  </si>
  <si>
    <t>7.9334 </t>
  </si>
  <si>
    <t>8.0661 </t>
  </si>
  <si>
    <t>8.2008 </t>
  </si>
  <si>
    <t>8.3373 </t>
  </si>
  <si>
    <t>8.6085 </t>
  </si>
  <si>
    <t>8.7469 </t>
  </si>
  <si>
    <t>8.8872 </t>
  </si>
  <si>
    <t>9.0294 </t>
  </si>
  <si>
    <t>9.1699 </t>
  </si>
  <si>
    <t>69.389 </t>
  </si>
  <si>
    <t>9.3122 </t>
  </si>
  <si>
    <t>9.4565 </t>
  </si>
  <si>
    <t>9.6026 </t>
  </si>
  <si>
    <t>9.7507 </t>
  </si>
  <si>
    <t>9.8957 </t>
  </si>
  <si>
    <t>10.645 </t>
  </si>
  <si>
    <t>11.579 </t>
  </si>
  <si>
    <t>11.899 </t>
  </si>
  <si>
    <t>69.427 </t>
  </si>
  <si>
    <t>69.464 </t>
  </si>
  <si>
    <t>17.061 </t>
  </si>
  <si>
    <t>69.483 </t>
  </si>
  <si>
    <t>18.904 </t>
  </si>
  <si>
    <t>69.504 </t>
  </si>
  <si>
    <t>69.507 </t>
  </si>
  <si>
    <t>21.732 </t>
  </si>
  <si>
    <t>21.925 </t>
  </si>
  <si>
    <t>69.517 </t>
  </si>
  <si>
    <t>69.528 </t>
  </si>
  <si>
    <t>25.366 </t>
  </si>
  <si>
    <t>69.552 </t>
  </si>
  <si>
    <t>29.163 </t>
  </si>
  <si>
    <t>69.567 </t>
  </si>
  <si>
    <t>30.092 </t>
  </si>
  <si>
    <t>30.646 </t>
  </si>
  <si>
    <t>69.573 </t>
  </si>
  <si>
    <t>31.012 </t>
  </si>
  <si>
    <t>69.585 </t>
  </si>
  <si>
    <t>69.592 </t>
  </si>
  <si>
    <t>33.886 </t>
  </si>
  <si>
    <t>69.6 </t>
  </si>
  <si>
    <t>69.609 </t>
  </si>
  <si>
    <t>69.626 </t>
  </si>
  <si>
    <t>69.627 </t>
  </si>
  <si>
    <t>69.628 </t>
  </si>
  <si>
    <t>69.629 </t>
  </si>
  <si>
    <t>40.155 </t>
  </si>
  <si>
    <t>42.228 </t>
  </si>
  <si>
    <t>69.651 </t>
  </si>
  <si>
    <t>69.652 </t>
  </si>
  <si>
    <t>69.666 </t>
  </si>
  <si>
    <t>69.673 </t>
  </si>
  <si>
    <t>45.419 </t>
  </si>
  <si>
    <t>1000 </t>
  </si>
  <si>
    <t>Wavelength (nm)</t>
  </si>
  <si>
    <t>T %</t>
  </si>
  <si>
    <t>Wavelength (Weighted)</t>
  </si>
  <si>
    <t>Doing photometry over a 1 FWHM radius</t>
  </si>
  <si>
    <t>JPL 7ly-aggressive</t>
  </si>
  <si>
    <t>FWHM on detector+filter</t>
  </si>
  <si>
    <t>potential 7 layer model (more rejection)</t>
  </si>
  <si>
    <t>nm</t>
  </si>
  <si>
    <t>T</t>
  </si>
  <si>
    <t>Tsubs</t>
  </si>
  <si>
    <t>Ttotal</t>
  </si>
  <si>
    <t xml:space="preserve">NUV Red Leak noise </t>
  </si>
  <si>
    <t xml:space="preserve">FUV Red Leak noise </t>
  </si>
  <si>
    <t>ergs/cm2/s/A/arcsec2</t>
  </si>
  <si>
    <t>Average sky background NUV</t>
  </si>
  <si>
    <t>Average sky background FUV</t>
  </si>
  <si>
    <t>(I75*PI()*(Eff_diam/2)^2*$B$29)*0.0000001/($B$3*$B$4/($D$31*0.0000000001))</t>
  </si>
  <si>
    <t>Average Sky Noise NUV</t>
  </si>
  <si>
    <t>Average Sky Noise FUV</t>
  </si>
  <si>
    <t>Use sky value from COS</t>
  </si>
  <si>
    <t>factor</t>
  </si>
  <si>
    <t>PI Noise reserve NUV</t>
  </si>
  <si>
    <t>PI Noise reserve FUV</t>
  </si>
  <si>
    <t>Background</t>
  </si>
  <si>
    <t>SOW Fudge</t>
  </si>
  <si>
    <t>These are the values by which JPL promised detectors are reduced in the SOW</t>
  </si>
  <si>
    <t>2017_01_30</t>
  </si>
  <si>
    <t>Pixel size in sky</t>
  </si>
  <si>
    <t>HIP 12545 *</t>
  </si>
  <si>
    <t>1 FWHM integration</t>
  </si>
  <si>
    <t>Flat field uncertainty (between pixels)</t>
  </si>
  <si>
    <t>Due to flat errors. Does not include within pixel noise</t>
  </si>
  <si>
    <t>COS IHB Cyc 25, pg 90, 94. This is 600 km</t>
  </si>
  <si>
    <t>Geocoronal LyA</t>
  </si>
  <si>
    <t>Attenuation LyA</t>
  </si>
  <si>
    <t>OI 1302 A</t>
  </si>
  <si>
    <t>Att.</t>
  </si>
  <si>
    <t>OI] 1356 A</t>
  </si>
  <si>
    <t>Att</t>
  </si>
  <si>
    <t>Airglow FUV Background</t>
  </si>
  <si>
    <t>Airglow NUV Background</t>
  </si>
  <si>
    <t>Airglow FUV Background Noise</t>
  </si>
  <si>
    <t>Airglow NUV Background Noise</t>
  </si>
  <si>
    <t>2 MHz - 0.65 s per frame</t>
  </si>
  <si>
    <t>System Noise Multiplier</t>
  </si>
  <si>
    <t>Fudge factor to multiply the read noise</t>
  </si>
  <si>
    <t>Dark current</t>
  </si>
  <si>
    <t>Airglow+Sky FUV</t>
  </si>
  <si>
    <t>Airglow+Sky NUV</t>
  </si>
  <si>
    <t>PLOTS</t>
  </si>
  <si>
    <t>Original</t>
  </si>
  <si>
    <t>FY18</t>
  </si>
  <si>
    <t>FY19</t>
  </si>
  <si>
    <t>FY20</t>
  </si>
  <si>
    <t>FY21</t>
  </si>
  <si>
    <t>FY22</t>
  </si>
  <si>
    <t>total</t>
  </si>
  <si>
    <t>Re-phase</t>
  </si>
  <si>
    <t>SPARCS FUV</t>
  </si>
  <si>
    <t>Active: 1%
Inactive: 20%</t>
  </si>
  <si>
    <t>Parameter</t>
  </si>
  <si>
    <t>Required value</t>
  </si>
  <si>
    <t>CBE</t>
  </si>
  <si>
    <t>Baselined value</t>
  </si>
  <si>
    <t xml:space="preserve"> Margin 
(Requirement-CBE)/Requirement</t>
  </si>
  <si>
    <t>Allocated to</t>
  </si>
  <si>
    <t>Effective Aperture</t>
  </si>
  <si>
    <t>&gt;8.5 cm</t>
  </si>
  <si>
    <t>8.5 cm</t>
  </si>
  <si>
    <t>Telescope</t>
  </si>
  <si>
    <t>Diffraction limit wavelength</t>
  </si>
  <si>
    <t>&lt;710 nm</t>
  </si>
  <si>
    <t>630 nm</t>
  </si>
  <si>
    <t>Diffraction limit should be &lt;pix/5</t>
  </si>
  <si>
    <t>Pointing Jitter</t>
  </si>
  <si>
    <t xml:space="preserve">ACS </t>
  </si>
  <si>
    <t>Read Noise</t>
  </si>
  <si>
    <t>Camera: Detector</t>
  </si>
  <si>
    <t>2 MHz</t>
  </si>
  <si>
    <t>Dark Current</t>
  </si>
  <si>
    <t>&lt;0.2 e/s/pix (T&lt;241 K)</t>
  </si>
  <si>
    <t>0.1 e/s/pix (T=238K)</t>
  </si>
  <si>
    <t>0.1 e/s/pix</t>
  </si>
  <si>
    <t>Camera+Thermal system</t>
  </si>
  <si>
    <t>Average is T=238K, Max is 241K</t>
  </si>
  <si>
    <t>PRNU Uncertainty</t>
  </si>
  <si>
    <t>&lt;0.01</t>
  </si>
  <si>
    <t>Camera: Detector Calibration</t>
  </si>
  <si>
    <t>Pixel size in the sky</t>
  </si>
  <si>
    <t>Focal Length</t>
  </si>
  <si>
    <t>Detector pixel</t>
  </si>
  <si>
    <t>13 um</t>
  </si>
  <si>
    <t>OTA Throughput</t>
  </si>
  <si>
    <t>&gt;67% total</t>
  </si>
  <si>
    <t>FUV Channel</t>
  </si>
  <si>
    <t>Mean Wavelength (FUV)</t>
  </si>
  <si>
    <t>162 nm±5 nm</t>
  </si>
  <si>
    <t>162 nm</t>
  </si>
  <si>
    <t>Camera: MDF</t>
  </si>
  <si>
    <t>Integrated filter transmission FUV</t>
  </si>
  <si>
    <t>&gt;6.8 nm</t>
  </si>
  <si>
    <t>8 nm</t>
  </si>
  <si>
    <t>6.8 nm</t>
  </si>
  <si>
    <t>Out of Band Rejection FUV</t>
  </si>
  <si>
    <r>
      <t>OD&gt;3 for</t>
    </r>
    <r>
      <rPr>
        <sz val="12"/>
        <color theme="1"/>
        <rFont val="Symbol"/>
        <charset val="2"/>
      </rPr>
      <t xml:space="preserve"> l=650</t>
    </r>
    <r>
      <rPr>
        <sz val="12"/>
        <color theme="1"/>
        <rFont val="Calibri"/>
        <family val="2"/>
        <scheme val="minor"/>
      </rPr>
      <t xml:space="preserve"> nm</t>
    </r>
  </si>
  <si>
    <t>Model curves</t>
  </si>
  <si>
    <t>N/A</t>
  </si>
  <si>
    <t>NUV Channel</t>
  </si>
  <si>
    <t>Mean Wavelength (NUV)</t>
  </si>
  <si>
    <t>280 nm±5nm</t>
  </si>
  <si>
    <t>280 nm</t>
  </si>
  <si>
    <t>Camera: NUV filter</t>
  </si>
  <si>
    <t>Integrated filter transmission*Detector QE NUV</t>
  </si>
  <si>
    <t>&gt;11.1 nm</t>
  </si>
  <si>
    <t>13 nm</t>
  </si>
  <si>
    <t>11.1 nm</t>
  </si>
  <si>
    <t>Camera: NUV filter+detector</t>
  </si>
  <si>
    <t>Out of Band Rejection NUV (including Detector QE)</t>
  </si>
  <si>
    <r>
      <t>OD&gt;4 for</t>
    </r>
    <r>
      <rPr>
        <sz val="12"/>
        <color theme="1"/>
        <rFont val="Symbol"/>
        <charset val="2"/>
      </rPr>
      <t xml:space="preserve"> l</t>
    </r>
    <r>
      <rPr>
        <sz val="12"/>
        <color theme="1"/>
        <rFont val="Calibri"/>
        <family val="2"/>
        <scheme val="minor"/>
      </rPr>
      <t>&gt;650 nm</t>
    </r>
  </si>
  <si>
    <t>Airglow attenuation</t>
  </si>
  <si>
    <t>122 nm</t>
  </si>
  <si>
    <t>FUV filter</t>
  </si>
  <si>
    <t>130 nm</t>
  </si>
  <si>
    <t>&lt;0.22 %</t>
  </si>
  <si>
    <t>136 nm</t>
  </si>
  <si>
    <t>247 nm</t>
  </si>
  <si>
    <t>&lt;0.4 %</t>
  </si>
  <si>
    <t>NUV filter+Detector</t>
  </si>
  <si>
    <t>Sky Background</t>
  </si>
  <si>
    <t>&lt;4e18 ergs/s/cm2/A/arcsec2</t>
  </si>
  <si>
    <t>4e18 ergs/s/cm2/A/arcsec2</t>
  </si>
  <si>
    <t>Orbit+operations</t>
  </si>
  <si>
    <t>Day values</t>
  </si>
  <si>
    <t>150 nm</t>
  </si>
  <si>
    <t>&lt;5e-22 ergs/s/cm2/A/arcsec2</t>
  </si>
  <si>
    <t>5e-22 ergs/s/cm2/A/arcsec2</t>
  </si>
  <si>
    <t xml:space="preserve">AT Mic A </t>
  </si>
  <si>
    <t xml:space="preserve">HIP 23418 </t>
  </si>
  <si>
    <t xml:space="preserve">AF Psc </t>
  </si>
  <si>
    <t xml:space="preserve">TWA 7 </t>
  </si>
  <si>
    <t xml:space="preserve">HIP 50156 </t>
  </si>
  <si>
    <t xml:space="preserve">BD+20 1790 </t>
  </si>
  <si>
    <t xml:space="preserve">Gl  729  </t>
  </si>
  <si>
    <t xml:space="preserve">TYC 1766-1431-1 </t>
  </si>
  <si>
    <t xml:space="preserve">DS Leo </t>
  </si>
  <si>
    <t xml:space="preserve">Gl  411  </t>
  </si>
  <si>
    <t xml:space="preserve">HIP 12545 </t>
  </si>
  <si>
    <t xml:space="preserve">BD-13 6424 </t>
  </si>
  <si>
    <t xml:space="preserve">AG Tri </t>
  </si>
  <si>
    <t xml:space="preserve">TYC 9073-0762 </t>
  </si>
  <si>
    <t xml:space="preserve">Gl  880  </t>
  </si>
  <si>
    <t xml:space="preserve">GJ 3810 </t>
  </si>
  <si>
    <t xml:space="preserve">Gl  832 </t>
  </si>
  <si>
    <t xml:space="preserve">Proxima </t>
  </si>
  <si>
    <t xml:space="preserve">GJ 436 </t>
  </si>
  <si>
    <t xml:space="preserve">GJ 3470 </t>
  </si>
  <si>
    <t xml:space="preserve">K2-3 (d) </t>
  </si>
  <si>
    <t>NASA Budget (3/1/18)</t>
  </si>
  <si>
    <t>NASA Budget (4/18/18)</t>
  </si>
  <si>
    <t>f#</t>
  </si>
  <si>
    <t>Blur (")</t>
  </si>
  <si>
    <t>Wanted pix size</t>
  </si>
  <si>
    <t>f</t>
  </si>
  <si>
    <t>Model or GALEX</t>
  </si>
  <si>
    <t>Model</t>
  </si>
  <si>
    <t>Note: the red leak values are from standard canonical models from red_leak_calc.txt. They are based on Lam+FWHM. The model values below are from calculate_flux_values.txt. They are based on  Lam+2FWHM</t>
  </si>
  <si>
    <t>Due to filter</t>
  </si>
  <si>
    <t>Includes effect of dichroic on flux and red leak</t>
  </si>
  <si>
    <t>Assumes that the flux of interest is only within 2FWHM</t>
  </si>
  <si>
    <t>In-band factor (alpha)</t>
  </si>
  <si>
    <t>In-band attenuation</t>
  </si>
  <si>
    <t>Out of band attenuation</t>
  </si>
  <si>
    <t>Red Leak attennuation from Dic.</t>
  </si>
  <si>
    <t>In-band Dichroic Attenuation</t>
  </si>
  <si>
    <t>&lt;6"</t>
  </si>
  <si>
    <t>4.4"</t>
  </si>
  <si>
    <t>6"</t>
  </si>
  <si>
    <t>&lt;11.4 e/pix</t>
  </si>
  <si>
    <t>11.4 e/pix</t>
  </si>
  <si>
    <t>7.1"</t>
  </si>
  <si>
    <t>5.1"-7.1"</t>
  </si>
  <si>
    <t>37.6 cm - 51.3 cm</t>
  </si>
  <si>
    <t>37.6 cm</t>
  </si>
  <si>
    <t>Adds models by Peacock</t>
  </si>
  <si>
    <t>Reduces activity factor from G-NUV to S-NUV</t>
  </si>
  <si>
    <t>Dichroic</t>
  </si>
  <si>
    <t>Transmitted in-band</t>
  </si>
  <si>
    <t>Transmitted out-of-band</t>
  </si>
  <si>
    <t>Reflected in-band</t>
  </si>
  <si>
    <t>Reflected out-of-band</t>
  </si>
  <si>
    <t>Instrument: Dichroic</t>
  </si>
  <si>
    <t>T substrate</t>
  </si>
  <si>
    <t>T total</t>
  </si>
  <si>
    <t>potential 7 layer model (conservative) (From FUV_FilterModels_2017.02.21)</t>
  </si>
  <si>
    <t>FUV Conservative</t>
  </si>
  <si>
    <t>FUV Aggressive</t>
  </si>
  <si>
    <t>&lt;0.05%</t>
  </si>
  <si>
    <t>&lt;1.3%</t>
  </si>
  <si>
    <t>Depth of Focus</t>
  </si>
  <si>
    <t>DelF=2*FWHM*f*f# (http://www.astropix.com/html/i_astrop/focus/defs.html)</t>
  </si>
  <si>
    <t>PSF radius at diff limit (1.22*Lam/D)</t>
  </si>
  <si>
    <t>PSF FWHM (0.45*2.3548*Lam/D)</t>
  </si>
  <si>
    <t>Q value Jitter (Jitter FWHM/(0.45*2.3548))/(pix/f)</t>
  </si>
  <si>
    <t>Q value Combo (combo FWHM/(0.45*2.3548))/(pix/f)</t>
  </si>
  <si>
    <t>Number of pixels in blur spot (1.22*Q) - Radius</t>
  </si>
  <si>
    <t>Assumes that the FWHM of the PSF is 0.45*2.3*Lam/D</t>
  </si>
  <si>
    <t>PSF 1 sigma radius (0.45*Lam/D)/Pix_size</t>
  </si>
  <si>
    <t>Added optical aberrations</t>
  </si>
  <si>
    <t>Aberrations</t>
  </si>
  <si>
    <t>Models from SigmaSpace</t>
  </si>
  <si>
    <t>RMS at field center (um)</t>
  </si>
  <si>
    <t>RMS at field center (pix)</t>
  </si>
  <si>
    <t>RMS at field center (arcsec)</t>
  </si>
  <si>
    <t>FWHM at field center (arcsec)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</si>
</sst>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1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charset val="204"/>
      <scheme val="minor"/>
    </font>
    <font>
      <u/>
      <sz val="12"/>
      <color theme="11"/>
      <name val="Calibri"/>
      <family val="2"/>
      <charset val="204"/>
      <scheme val="minor"/>
    </font>
    <font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Monaco"/>
      <family val="2"/>
    </font>
    <font>
      <b/>
      <sz val="16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Symbol"/>
      <charset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35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7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/>
    <xf numFmtId="2" fontId="0" fillId="0" borderId="0" xfId="0" applyNumberFormat="1" applyAlignment="1">
      <alignment horizontal="right"/>
    </xf>
    <xf numFmtId="0" fontId="7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1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vertical="center"/>
    </xf>
    <xf numFmtId="2" fontId="0" fillId="0" borderId="0" xfId="0" applyNumberFormat="1" applyAlignment="1">
      <alignment horizontal="right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/>
    <xf numFmtId="0" fontId="2" fillId="3" borderId="0" xfId="0" applyFont="1" applyFill="1" applyAlignment="1">
      <alignment vertical="center"/>
    </xf>
    <xf numFmtId="0" fontId="0" fillId="0" borderId="0" xfId="0" applyFill="1"/>
    <xf numFmtId="0" fontId="0" fillId="2" borderId="0" xfId="0" applyFill="1"/>
    <xf numFmtId="2" fontId="0" fillId="0" borderId="0" xfId="0" applyNumberFormat="1"/>
    <xf numFmtId="2" fontId="0" fillId="0" borderId="0" xfId="0" applyNumberFormat="1" applyFill="1"/>
    <xf numFmtId="2" fontId="0" fillId="2" borderId="0" xfId="0" applyNumberFormat="1" applyFill="1"/>
    <xf numFmtId="2" fontId="6" fillId="0" borderId="0" xfId="0" applyNumberFormat="1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Fill="1"/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2" borderId="0" xfId="0" applyFont="1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right" wrapText="1"/>
    </xf>
    <xf numFmtId="11" fontId="0" fillId="0" borderId="0" xfId="0" applyNumberFormat="1" applyAlignment="1">
      <alignment horizontal="right" vertical="center"/>
    </xf>
    <xf numFmtId="0" fontId="6" fillId="0" borderId="0" xfId="0" applyFont="1" applyFill="1" applyBorder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541" applyFont="1" applyFill="1"/>
    <xf numFmtId="165" fontId="6" fillId="0" borderId="0" xfId="0" applyNumberFormat="1" applyFont="1" applyFill="1"/>
    <xf numFmtId="0" fontId="6" fillId="0" borderId="0" xfId="0" applyNumberFormat="1" applyFont="1" applyFill="1" applyBorder="1"/>
    <xf numFmtId="165" fontId="6" fillId="0" borderId="0" xfId="0" applyNumberFormat="1" applyFont="1" applyFill="1" applyBorder="1"/>
    <xf numFmtId="0" fontId="6" fillId="0" borderId="0" xfId="0" applyFont="1" applyFill="1" applyAlignment="1">
      <alignment horizontal="right"/>
    </xf>
    <xf numFmtId="0" fontId="0" fillId="0" borderId="0" xfId="0" applyAlignment="1">
      <alignment vertical="center" wrapText="1"/>
    </xf>
    <xf numFmtId="0" fontId="4" fillId="0" borderId="0" xfId="541" applyAlignment="1">
      <alignment vertical="center" wrapText="1"/>
    </xf>
    <xf numFmtId="0" fontId="0" fillId="0" borderId="0" xfId="0" applyFont="1" applyFill="1" applyBorder="1"/>
    <xf numFmtId="0" fontId="3" fillId="0" borderId="0" xfId="0" applyFont="1" applyFill="1" applyBorder="1"/>
    <xf numFmtId="2" fontId="0" fillId="0" borderId="0" xfId="0" applyNumberFormat="1" applyAlignment="1">
      <alignment wrapText="1"/>
    </xf>
    <xf numFmtId="0" fontId="2" fillId="3" borderId="0" xfId="0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" fontId="0" fillId="5" borderId="0" xfId="0" applyNumberFormat="1" applyFill="1" applyAlignment="1">
      <alignment horizontal="center"/>
    </xf>
    <xf numFmtId="0" fontId="0" fillId="0" borderId="0" xfId="0" applyFill="1" applyBorder="1"/>
    <xf numFmtId="0" fontId="8" fillId="0" borderId="0" xfId="0" applyFont="1" applyAlignment="1">
      <alignment wrapText="1"/>
    </xf>
    <xf numFmtId="0" fontId="9" fillId="0" borderId="0" xfId="0" applyFont="1" applyAlignment="1">
      <alignment vertical="center"/>
    </xf>
    <xf numFmtId="2" fontId="9" fillId="0" borderId="0" xfId="0" applyNumberFormat="1" applyFont="1" applyAlignment="1">
      <alignment horizontal="right" vertical="center"/>
    </xf>
    <xf numFmtId="11" fontId="9" fillId="0" borderId="0" xfId="0" applyNumberFormat="1" applyFont="1" applyAlignment="1">
      <alignment horizontal="right" vertical="center"/>
    </xf>
    <xf numFmtId="0" fontId="0" fillId="0" borderId="0" xfId="0" applyFont="1" applyBorder="1" applyAlignment="1">
      <alignment horizontal="left" vertical="center"/>
    </xf>
    <xf numFmtId="11" fontId="0" fillId="0" borderId="0" xfId="0" applyNumberFormat="1" applyFont="1" applyAlignment="1">
      <alignment vertical="center"/>
    </xf>
    <xf numFmtId="0" fontId="9" fillId="0" borderId="0" xfId="0" applyFont="1" applyAlignment="1">
      <alignment horizontal="left" vertical="center"/>
    </xf>
    <xf numFmtId="165" fontId="9" fillId="0" borderId="0" xfId="0" applyNumberFormat="1" applyFont="1" applyAlignment="1">
      <alignment vertical="center"/>
    </xf>
    <xf numFmtId="0" fontId="10" fillId="0" borderId="0" xfId="0" applyFont="1" applyFill="1" applyBorder="1"/>
    <xf numFmtId="2" fontId="11" fillId="0" borderId="0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11" fontId="11" fillId="0" borderId="0" xfId="0" applyNumberFormat="1" applyFont="1" applyAlignment="1">
      <alignment horizontal="center"/>
    </xf>
    <xf numFmtId="2" fontId="11" fillId="5" borderId="0" xfId="0" applyNumberFormat="1" applyFont="1" applyFill="1" applyAlignment="1">
      <alignment horizontal="center"/>
    </xf>
    <xf numFmtId="2" fontId="11" fillId="0" borderId="0" xfId="0" applyNumberFormat="1" applyFont="1" applyAlignment="1">
      <alignment horizontal="center"/>
    </xf>
    <xf numFmtId="0" fontId="11" fillId="0" borderId="0" xfId="0" applyFont="1"/>
    <xf numFmtId="2" fontId="11" fillId="6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14" fontId="0" fillId="0" borderId="0" xfId="0" applyNumberFormat="1" applyAlignment="1">
      <alignment horizontal="left"/>
    </xf>
    <xf numFmtId="0" fontId="2" fillId="6" borderId="0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2" fillId="0" borderId="0" xfId="0" applyFont="1" applyFill="1" applyAlignment="1">
      <alignment horizontal="center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1" fontId="12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0" fillId="0" borderId="0" xfId="0" applyAlignment="1"/>
    <xf numFmtId="11" fontId="0" fillId="0" borderId="0" xfId="0" applyNumberFormat="1" applyAlignment="1">
      <alignment horizontal="center" wrapText="1"/>
    </xf>
    <xf numFmtId="0" fontId="13" fillId="0" borderId="0" xfId="541" applyFont="1" applyAlignment="1">
      <alignment vertical="center" wrapText="1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3" fontId="15" fillId="0" borderId="0" xfId="0" applyNumberFormat="1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9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3" xfId="0" applyBorder="1"/>
    <xf numFmtId="0" fontId="0" fillId="0" borderId="5" xfId="0" applyBorder="1" applyAlignment="1">
      <alignment horizontal="center"/>
    </xf>
    <xf numFmtId="0" fontId="0" fillId="0" borderId="7" xfId="0" applyBorder="1"/>
    <xf numFmtId="0" fontId="8" fillId="0" borderId="10" xfId="0" applyFont="1" applyBorder="1"/>
    <xf numFmtId="0" fontId="8" fillId="0" borderId="11" xfId="0" applyFont="1" applyBorder="1"/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1" fontId="0" fillId="0" borderId="0" xfId="0" applyNumberFormat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2" fontId="0" fillId="6" borderId="0" xfId="0" applyNumberForma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1" fillId="0" borderId="11" xfId="0" applyFont="1" applyBorder="1" applyAlignment="1">
      <alignment horizontal="center"/>
    </xf>
    <xf numFmtId="11" fontId="11" fillId="0" borderId="12" xfId="0" applyNumberFormat="1" applyFont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0" fontId="11" fillId="0" borderId="12" xfId="0" applyFont="1" applyBorder="1" applyAlignment="1">
      <alignment horizontal="center"/>
    </xf>
    <xf numFmtId="2" fontId="11" fillId="0" borderId="12" xfId="0" applyNumberFormat="1" applyFont="1" applyBorder="1" applyAlignment="1">
      <alignment horizontal="center"/>
    </xf>
    <xf numFmtId="2" fontId="11" fillId="6" borderId="12" xfId="0" applyNumberFormat="1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 vertical="center" wrapText="1"/>
    </xf>
    <xf numFmtId="1" fontId="0" fillId="6" borderId="1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" fontId="0" fillId="6" borderId="11" xfId="0" applyNumberFormat="1" applyFill="1" applyBorder="1" applyAlignment="1">
      <alignment horizontal="center"/>
    </xf>
    <xf numFmtId="2" fontId="11" fillId="0" borderId="12" xfId="0" applyNumberFormat="1" applyFont="1" applyBorder="1" applyAlignment="1">
      <alignment horizontal="center" vertical="center"/>
    </xf>
    <xf numFmtId="1" fontId="0" fillId="5" borderId="12" xfId="0" applyNumberFormat="1" applyFill="1" applyBorder="1" applyAlignment="1">
      <alignment horizontal="center"/>
    </xf>
    <xf numFmtId="2" fontId="11" fillId="0" borderId="6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8" fillId="0" borderId="10" xfId="0" applyFont="1" applyFill="1" applyBorder="1" applyAlignment="1">
      <alignment horizontal="right"/>
    </xf>
    <xf numFmtId="0" fontId="0" fillId="0" borderId="4" xfId="0" applyBorder="1"/>
    <xf numFmtId="0" fontId="8" fillId="0" borderId="11" xfId="0" applyFont="1" applyFill="1" applyBorder="1" applyAlignment="1">
      <alignment horizontal="right"/>
    </xf>
    <xf numFmtId="0" fontId="0" fillId="0" borderId="6" xfId="0" applyBorder="1"/>
    <xf numFmtId="0" fontId="8" fillId="0" borderId="13" xfId="0" applyFont="1" applyBorder="1" applyAlignment="1">
      <alignment horizontal="center" vertical="center"/>
    </xf>
    <xf numFmtId="0" fontId="8" fillId="0" borderId="10" xfId="0" applyFont="1" applyBorder="1" applyAlignment="1">
      <alignment horizontal="right"/>
    </xf>
    <xf numFmtId="0" fontId="8" fillId="0" borderId="10" xfId="0" applyFont="1" applyBorder="1" applyAlignment="1">
      <alignment horizontal="left"/>
    </xf>
    <xf numFmtId="0" fontId="0" fillId="0" borderId="14" xfId="0" applyBorder="1" applyAlignment="1">
      <alignment horizontal="center"/>
    </xf>
    <xf numFmtId="9" fontId="0" fillId="0" borderId="5" xfId="0" applyNumberFormat="1" applyBorder="1" applyAlignment="1">
      <alignment horizontal="center"/>
    </xf>
    <xf numFmtId="0" fontId="8" fillId="0" borderId="7" xfId="0" applyFont="1" applyBorder="1"/>
    <xf numFmtId="9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9" xfId="0" applyBorder="1" applyAlignment="1">
      <alignment horizontal="left"/>
    </xf>
    <xf numFmtId="0" fontId="8" fillId="0" borderId="10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 wrapText="1"/>
    </xf>
    <xf numFmtId="0" fontId="6" fillId="2" borderId="0" xfId="0" applyFont="1" applyFill="1" applyBorder="1"/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4" fontId="0" fillId="0" borderId="0" xfId="0" applyNumberFormat="1"/>
    <xf numFmtId="2" fontId="0" fillId="0" borderId="0" xfId="0" applyNumberFormat="1" applyAlignment="1">
      <alignment vertical="center" wrapText="1"/>
    </xf>
    <xf numFmtId="2" fontId="9" fillId="0" borderId="0" xfId="0" applyNumberFormat="1" applyFont="1"/>
    <xf numFmtId="2" fontId="0" fillId="0" borderId="0" xfId="0" applyNumberFormat="1" applyFont="1" applyAlignment="1">
      <alignment vertical="center"/>
    </xf>
    <xf numFmtId="2" fontId="9" fillId="0" borderId="0" xfId="0" applyNumberFormat="1" applyFont="1" applyAlignment="1">
      <alignment vertical="center"/>
    </xf>
  </cellXfs>
  <cellStyles count="6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Followed Hyperlink" xfId="443" builtinId="9" hidden="1"/>
    <cellStyle name="Followed Hyperlink" xfId="444" builtinId="9" hidden="1"/>
    <cellStyle name="Followed Hyperlink" xfId="445" builtinId="9" hidden="1"/>
    <cellStyle name="Followed Hyperlink" xfId="446" builtinId="9" hidden="1"/>
    <cellStyle name="Followed Hyperlink" xfId="447" builtinId="9" hidden="1"/>
    <cellStyle name="Followed Hyperlink" xfId="448" builtinId="9" hidden="1"/>
    <cellStyle name="Followed Hyperlink" xfId="449" builtinId="9" hidden="1"/>
    <cellStyle name="Followed Hyperlink" xfId="450" builtinId="9" hidden="1"/>
    <cellStyle name="Followed Hyperlink" xfId="451" builtinId="9" hidden="1"/>
    <cellStyle name="Followed Hyperlink" xfId="452" builtinId="9" hidden="1"/>
    <cellStyle name="Followed Hyperlink" xfId="453" builtinId="9" hidden="1"/>
    <cellStyle name="Followed Hyperlink" xfId="454" builtinId="9" hidden="1"/>
    <cellStyle name="Followed Hyperlink" xfId="455" builtinId="9" hidden="1"/>
    <cellStyle name="Followed Hyperlink" xfId="456" builtinId="9" hidden="1"/>
    <cellStyle name="Followed Hyperlink" xfId="457" builtinId="9" hidden="1"/>
    <cellStyle name="Followed Hyperlink" xfId="458" builtinId="9" hidden="1"/>
    <cellStyle name="Followed Hyperlink" xfId="459" builtinId="9" hidden="1"/>
    <cellStyle name="Followed Hyperlink" xfId="460" builtinId="9" hidden="1"/>
    <cellStyle name="Followed Hyperlink" xfId="461" builtinId="9" hidden="1"/>
    <cellStyle name="Followed Hyperlink" xfId="462" builtinId="9" hidden="1"/>
    <cellStyle name="Followed Hyperlink" xfId="463" builtinId="9" hidden="1"/>
    <cellStyle name="Followed Hyperlink" xfId="464" builtinId="9" hidden="1"/>
    <cellStyle name="Followed Hyperlink" xfId="465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3" builtinId="9" hidden="1"/>
    <cellStyle name="Followed Hyperlink" xfId="544" builtinId="9" hidden="1"/>
    <cellStyle name="Followed Hyperlink" xfId="545" builtinId="9" hidden="1"/>
    <cellStyle name="Followed Hyperlink" xfId="546" builtinId="9" hidden="1"/>
    <cellStyle name="Followed Hyperlink" xfId="547" builtinId="9" hidden="1"/>
    <cellStyle name="Followed Hyperlink" xfId="548" builtinId="9" hidden="1"/>
    <cellStyle name="Followed Hyperlink" xfId="549" builtinId="9" hidden="1"/>
    <cellStyle name="Followed Hyperlink" xfId="550" builtinId="9" hidden="1"/>
    <cellStyle name="Followed Hyperlink" xfId="551" builtinId="9" hidden="1"/>
    <cellStyle name="Followed Hyperlink" xfId="552" builtinId="9" hidden="1"/>
    <cellStyle name="Followed Hyperlink" xfId="553" builtinId="9" hidden="1"/>
    <cellStyle name="Followed Hyperlink" xfId="554" builtinId="9" hidden="1"/>
    <cellStyle name="Followed Hyperlink" xfId="555" builtinId="9" hidden="1"/>
    <cellStyle name="Followed Hyperlink" xfId="556" builtinId="9" hidden="1"/>
    <cellStyle name="Followed Hyperlink" xfId="557" builtinId="9" hidden="1"/>
    <cellStyle name="Followed Hyperlink" xfId="558" builtinId="9" hidden="1"/>
    <cellStyle name="Followed Hyperlink" xfId="559" builtinId="9" hidden="1"/>
    <cellStyle name="Followed Hyperlink" xfId="560" builtinId="9" hidden="1"/>
    <cellStyle name="Followed Hyperlink" xfId="561" builtinId="9" hidden="1"/>
    <cellStyle name="Followed Hyperlink" xfId="562" builtinId="9" hidden="1"/>
    <cellStyle name="Followed Hyperlink" xfId="563" builtinId="9" hidden="1"/>
    <cellStyle name="Followed Hyperlink" xfId="564" builtinId="9" hidden="1"/>
    <cellStyle name="Followed Hyperlink" xfId="565" builtinId="9" hidden="1"/>
    <cellStyle name="Followed Hyperlink" xfId="566" builtinId="9" hidden="1"/>
    <cellStyle name="Followed Hyperlink" xfId="567" builtinId="9" hidden="1"/>
    <cellStyle name="Followed Hyperlink" xfId="568" builtinId="9" hidden="1"/>
    <cellStyle name="Followed Hyperlink" xfId="569" builtinId="9" hidden="1"/>
    <cellStyle name="Followed Hyperlink" xfId="570" builtinId="9" hidden="1"/>
    <cellStyle name="Followed Hyperlink" xfId="571" builtinId="9" hidden="1"/>
    <cellStyle name="Followed Hyperlink" xfId="572" builtinId="9" hidden="1"/>
    <cellStyle name="Followed Hyperlink" xfId="573" builtinId="9" hidden="1"/>
    <cellStyle name="Followed Hyperlink" xfId="574" builtinId="9" hidden="1"/>
    <cellStyle name="Followed Hyperlink" xfId="575" builtinId="9" hidden="1"/>
    <cellStyle name="Followed Hyperlink" xfId="576" builtinId="9" hidden="1"/>
    <cellStyle name="Followed Hyperlink" xfId="577" builtinId="9" hidden="1"/>
    <cellStyle name="Followed Hyperlink" xfId="578" builtinId="9" hidden="1"/>
    <cellStyle name="Followed Hyperlink" xfId="579" builtinId="9" hidden="1"/>
    <cellStyle name="Followed Hyperlink" xfId="580" builtinId="9" hidden="1"/>
    <cellStyle name="Followed Hyperlink" xfId="581" builtinId="9" hidden="1"/>
    <cellStyle name="Followed Hyperlink" xfId="582" builtinId="9" hidden="1"/>
    <cellStyle name="Followed Hyperlink" xfId="583" builtinId="9" hidden="1"/>
    <cellStyle name="Followed Hyperlink" xfId="584" builtinId="9" hidden="1"/>
    <cellStyle name="Followed Hyperlink" xfId="585" builtinId="9" hidden="1"/>
    <cellStyle name="Followed Hyperlink" xfId="586" builtinId="9" hidden="1"/>
    <cellStyle name="Followed Hyperlink" xfId="587" builtinId="9" hidden="1"/>
    <cellStyle name="Followed Hyperlink" xfId="588" builtinId="9" hidden="1"/>
    <cellStyle name="Followed Hyperlink" xfId="589" builtinId="9" hidden="1"/>
    <cellStyle name="Followed Hyperlink" xfId="590" builtinId="9" hidden="1"/>
    <cellStyle name="Followed Hyperlink" xfId="591" builtinId="9" hidden="1"/>
    <cellStyle name="Followed Hyperlink" xfId="592" builtinId="9" hidden="1"/>
    <cellStyle name="Followed Hyperlink" xfId="593" builtinId="9" hidden="1"/>
    <cellStyle name="Followed Hyperlink" xfId="594" builtinId="9" hidden="1"/>
    <cellStyle name="Followed Hyperlink" xfId="595" builtinId="9" hidden="1"/>
    <cellStyle name="Followed Hyperlink" xfId="596" builtinId="9" hidden="1"/>
    <cellStyle name="Followed Hyperlink" xfId="597" builtinId="9" hidden="1"/>
    <cellStyle name="Followed Hyperlink" xfId="598" builtinId="9" hidden="1"/>
    <cellStyle name="Followed Hyperlink" xfId="599" builtinId="9" hidden="1"/>
    <cellStyle name="Followed Hyperlink" xfId="600" builtinId="9" hidden="1"/>
    <cellStyle name="Followed Hyperlink" xfId="601" builtinId="9" hidden="1"/>
    <cellStyle name="Followed Hyperlink" xfId="602" builtinId="9" hidden="1"/>
    <cellStyle name="Followed Hyperlink" xfId="603" builtinId="9" hidden="1"/>
    <cellStyle name="Followed Hyperlink" xfId="604" builtinId="9" hidden="1"/>
    <cellStyle name="Followed Hyperlink" xfId="605" builtinId="9" hidden="1"/>
    <cellStyle name="Followed Hyperlink" xfId="606" builtinId="9" hidden="1"/>
    <cellStyle name="Followed Hyperlink" xfId="607" builtinId="9" hidden="1"/>
    <cellStyle name="Followed Hyperlink" xfId="608" builtinId="9" hidden="1"/>
    <cellStyle name="Followed Hyperlink" xfId="609" builtinId="9" hidden="1"/>
    <cellStyle name="Followed Hyperlink" xfId="610" builtinId="9" hidden="1"/>
    <cellStyle name="Followed Hyperlink" xfId="611" builtinId="9" hidden="1"/>
    <cellStyle name="Followed Hyperlink" xfId="612" builtinId="9" hidden="1"/>
    <cellStyle name="Followed Hyperlink" xfId="613" builtinId="9" hidden="1"/>
    <cellStyle name="Followed Hyperlink" xfId="614" builtinId="9" hidden="1"/>
    <cellStyle name="Followed Hyperlink" xfId="615" builtinId="9" hidden="1"/>
    <cellStyle name="Followed Hyperlink" xfId="616" builtinId="9" hidden="1"/>
    <cellStyle name="Followed Hyperlink" xfId="617" builtinId="9" hidden="1"/>
    <cellStyle name="Followed Hyperlink" xfId="618" builtinId="9" hidden="1"/>
    <cellStyle name="Followed Hyperlink" xfId="619" builtinId="9" hidden="1"/>
    <cellStyle name="Followed Hyperlink" xfId="620" builtinId="9" hidden="1"/>
    <cellStyle name="Followed Hyperlink" xfId="621" builtinId="9" hidden="1"/>
    <cellStyle name="Followed Hyperlink" xfId="622" builtinId="9" hidden="1"/>
    <cellStyle name="Followed Hyperlink" xfId="623" builtinId="9" hidden="1"/>
    <cellStyle name="Followed Hyperlink" xfId="624" builtinId="9" hidden="1"/>
    <cellStyle name="Followed Hyperlink" xfId="625" builtinId="9" hidden="1"/>
    <cellStyle name="Followed Hyperlink" xfId="626" builtinId="9" hidden="1"/>
    <cellStyle name="Followed Hyperlink" xfId="627" builtinId="9" hidden="1"/>
    <cellStyle name="Followed Hyperlink" xfId="628" builtinId="9" hidden="1"/>
    <cellStyle name="Followed Hyperlink" xfId="629" builtinId="9" hidden="1"/>
    <cellStyle name="Followed Hyperlink" xfId="630" builtinId="9" hidden="1"/>
    <cellStyle name="Followed Hyperlink" xfId="631" builtinId="9" hidden="1"/>
    <cellStyle name="Followed Hyperlink" xfId="632" builtinId="9" hidden="1"/>
    <cellStyle name="Followed Hyperlink" xfId="633" builtinId="9" hidden="1"/>
    <cellStyle name="Followed Hyperlink" xfId="6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/>
    <cellStyle name="Normal" xfId="0" builtinId="0"/>
    <cellStyle name="Normal 2 2" xfId="123" xr:uid="{00000000-0005-0000-0000-00007A02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 vs. Flux</a:t>
            </a:r>
          </a:p>
          <a:p>
            <a:pPr>
              <a:defRPr/>
            </a:pPr>
            <a:r>
              <a:rPr lang="en-US"/>
              <a:t>Texp=10</a:t>
            </a:r>
            <a:r>
              <a:rPr lang="en-US" baseline="0"/>
              <a:t> min.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Poisson NUV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Principles'!$D$139:$D$146</c:f>
              <c:numCache>
                <c:formatCode>General</c:formatCode>
                <c:ptCount val="8"/>
                <c:pt idx="0" formatCode="0.0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Principles'!$V$139:$V$146</c:f>
              <c:numCache>
                <c:formatCode>0.00</c:formatCode>
                <c:ptCount val="8"/>
                <c:pt idx="0">
                  <c:v>11.146427838202863</c:v>
                </c:pt>
                <c:pt idx="1">
                  <c:v>15.763429420799508</c:v>
                </c:pt>
                <c:pt idx="2">
                  <c:v>22.292855676405726</c:v>
                </c:pt>
                <c:pt idx="3">
                  <c:v>31.526858841599015</c:v>
                </c:pt>
                <c:pt idx="4">
                  <c:v>44.585711352811451</c:v>
                </c:pt>
                <c:pt idx="5">
                  <c:v>63.05371768319803</c:v>
                </c:pt>
                <c:pt idx="6">
                  <c:v>89.171422705622902</c:v>
                </c:pt>
                <c:pt idx="7">
                  <c:v>126.10743536639606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C-004A-8669-782C56EAD4E9}"/>
            </c:ext>
          </c:extLst>
        </c:ser>
        <c:ser>
          <c:idx val="1"/>
          <c:order val="1"/>
          <c:tx>
            <c:v>Poisson FUV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Principles'!$G$139:$G$146</c:f>
              <c:numCache>
                <c:formatCode>0.00</c:formatCode>
                <c:ptCount val="8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Principles'!$N$139:$N$146</c:f>
              <c:numCache>
                <c:formatCode>0.00</c:formatCode>
                <c:ptCount val="8"/>
                <c:pt idx="0">
                  <c:v>9.3831123008699695</c:v>
                </c:pt>
                <c:pt idx="1">
                  <c:v>13.269724673160129</c:v>
                </c:pt>
                <c:pt idx="2">
                  <c:v>18.766224601739939</c:v>
                </c:pt>
                <c:pt idx="3">
                  <c:v>26.539449346320257</c:v>
                </c:pt>
                <c:pt idx="4">
                  <c:v>37.532449203479878</c:v>
                </c:pt>
                <c:pt idx="5">
                  <c:v>53.078898692640514</c:v>
                </c:pt>
                <c:pt idx="6">
                  <c:v>75.064898406959756</c:v>
                </c:pt>
                <c:pt idx="7">
                  <c:v>106.15779738528103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7C-004A-8669-782C56EAD4E9}"/>
            </c:ext>
          </c:extLst>
        </c:ser>
        <c:ser>
          <c:idx val="2"/>
          <c:order val="2"/>
          <c:tx>
            <c:v>Jitter FUV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Principles'!$G$139:$G$146</c:f>
              <c:numCache>
                <c:formatCode>0.00</c:formatCode>
                <c:ptCount val="8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Principles'!$O$139:$O$146</c:f>
              <c:numCache>
                <c:formatCode>0.00</c:formatCode>
                <c:ptCount val="8"/>
                <c:pt idx="0">
                  <c:v>0.21988436687437182</c:v>
                </c:pt>
                <c:pt idx="1">
                  <c:v>0.43976873374874365</c:v>
                </c:pt>
                <c:pt idx="2">
                  <c:v>0.87953746749748729</c:v>
                </c:pt>
                <c:pt idx="3">
                  <c:v>1.7590749349949746</c:v>
                </c:pt>
                <c:pt idx="4">
                  <c:v>3.5181498699899492</c:v>
                </c:pt>
                <c:pt idx="5">
                  <c:v>7.0362997399798983</c:v>
                </c:pt>
                <c:pt idx="6">
                  <c:v>14.072599479959797</c:v>
                </c:pt>
                <c:pt idx="7">
                  <c:v>28.145198959919593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7C-004A-8669-782C56EAD4E9}"/>
            </c:ext>
          </c:extLst>
        </c:ser>
        <c:ser>
          <c:idx val="3"/>
          <c:order val="3"/>
          <c:tx>
            <c:v>Jitter NUV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Principles'!$G$139:$G$146</c:f>
              <c:numCache>
                <c:formatCode>0.00</c:formatCode>
                <c:ptCount val="8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Principles'!$W$139:$W$146</c:f>
              <c:numCache>
                <c:formatCode>0.00</c:formatCode>
                <c:ptCount val="8"/>
                <c:pt idx="0">
                  <c:v>0.30089015706896366</c:v>
                </c:pt>
                <c:pt idx="1">
                  <c:v>0.60178031413792732</c:v>
                </c:pt>
                <c:pt idx="2">
                  <c:v>1.2035606282758546</c:v>
                </c:pt>
                <c:pt idx="3">
                  <c:v>2.4071212565517093</c:v>
                </c:pt>
                <c:pt idx="4">
                  <c:v>4.8142425131034186</c:v>
                </c:pt>
                <c:pt idx="5">
                  <c:v>9.6284850262068371</c:v>
                </c:pt>
                <c:pt idx="6">
                  <c:v>19.256970052413674</c:v>
                </c:pt>
                <c:pt idx="7">
                  <c:v>38.513940104827348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7C-004A-8669-782C56EAD4E9}"/>
            </c:ext>
          </c:extLst>
        </c:ser>
        <c:ser>
          <c:idx val="4"/>
          <c:order val="4"/>
          <c:tx>
            <c:v>Red Leak FUV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Principles'!$G$139:$G$146</c:f>
              <c:numCache>
                <c:formatCode>0.00</c:formatCode>
                <c:ptCount val="8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Principles'!$P$139:$P$146</c:f>
              <c:numCache>
                <c:formatCode>0.00</c:formatCode>
                <c:ptCount val="8"/>
                <c:pt idx="0">
                  <c:v>1.9153197780303048</c:v>
                </c:pt>
                <c:pt idx="1">
                  <c:v>2.708671206371883</c:v>
                </c:pt>
                <c:pt idx="2">
                  <c:v>3.8306395560606097</c:v>
                </c:pt>
                <c:pt idx="3">
                  <c:v>5.4173424127437659</c:v>
                </c:pt>
                <c:pt idx="4">
                  <c:v>7.6612791121212194</c:v>
                </c:pt>
                <c:pt idx="5">
                  <c:v>10.834684825487532</c:v>
                </c:pt>
                <c:pt idx="6">
                  <c:v>15.322558224242439</c:v>
                </c:pt>
                <c:pt idx="7">
                  <c:v>21.669369650975064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7C-004A-8669-782C56EAD4E9}"/>
            </c:ext>
          </c:extLst>
        </c:ser>
        <c:ser>
          <c:idx val="5"/>
          <c:order val="5"/>
          <c:tx>
            <c:v>Red Leak NUV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Principles'!$G$139:$G$146</c:f>
              <c:numCache>
                <c:formatCode>0.00</c:formatCode>
                <c:ptCount val="8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Principles'!$X$139:$X$146</c:f>
              <c:numCache>
                <c:formatCode>0.00</c:formatCode>
                <c:ptCount val="8"/>
                <c:pt idx="0">
                  <c:v>1.1202581482451868</c:v>
                </c:pt>
                <c:pt idx="1">
                  <c:v>1.5842842666073123</c:v>
                </c:pt>
                <c:pt idx="2">
                  <c:v>2.2405162964903735</c:v>
                </c:pt>
                <c:pt idx="3">
                  <c:v>3.1685685332146245</c:v>
                </c:pt>
                <c:pt idx="4">
                  <c:v>4.4810325929807471</c:v>
                </c:pt>
                <c:pt idx="5">
                  <c:v>6.337137066429249</c:v>
                </c:pt>
                <c:pt idx="6">
                  <c:v>8.9620651859614942</c:v>
                </c:pt>
                <c:pt idx="7">
                  <c:v>12.674274132858498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7C-004A-8669-782C56EAD4E9}"/>
            </c:ext>
          </c:extLst>
        </c:ser>
        <c:ser>
          <c:idx val="6"/>
          <c:order val="6"/>
          <c:tx>
            <c:v>Dark Current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'ETC First Principles'!$A$174:$A$181</c:f>
              <c:numCache>
                <c:formatCode>General</c:formatCode>
                <c:ptCount val="8"/>
                <c:pt idx="0" formatCode="0.0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Principles'!$B$174:$B$181</c:f>
              <c:numCache>
                <c:formatCode>0.00</c:formatCode>
                <c:ptCount val="8"/>
                <c:pt idx="0">
                  <c:v>32.896581913037799</c:v>
                </c:pt>
                <c:pt idx="1">
                  <c:v>32.896581913037799</c:v>
                </c:pt>
                <c:pt idx="2">
                  <c:v>32.896581913037799</c:v>
                </c:pt>
                <c:pt idx="3">
                  <c:v>32.896581913037799</c:v>
                </c:pt>
                <c:pt idx="4">
                  <c:v>32.896581913037799</c:v>
                </c:pt>
                <c:pt idx="5">
                  <c:v>32.896581913037799</c:v>
                </c:pt>
                <c:pt idx="6">
                  <c:v>32.896581913037799</c:v>
                </c:pt>
                <c:pt idx="7">
                  <c:v>32.896581913037799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7C-004A-8669-782C56EAD4E9}"/>
            </c:ext>
          </c:extLst>
        </c:ser>
        <c:ser>
          <c:idx val="7"/>
          <c:order val="7"/>
          <c:tx>
            <c:v>RN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'ETC First Principles'!$A$174:$A$181</c:f>
              <c:numCache>
                <c:formatCode>General</c:formatCode>
                <c:ptCount val="8"/>
                <c:pt idx="0" formatCode="0.0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Principles'!$C$174:$C$181</c:f>
              <c:numCache>
                <c:formatCode>0.00</c:formatCode>
                <c:ptCount val="8"/>
                <c:pt idx="0">
                  <c:v>47.781673101952364</c:v>
                </c:pt>
                <c:pt idx="1">
                  <c:v>47.781673101952364</c:v>
                </c:pt>
                <c:pt idx="2">
                  <c:v>47.781673101952364</c:v>
                </c:pt>
                <c:pt idx="3">
                  <c:v>47.781673101952364</c:v>
                </c:pt>
                <c:pt idx="4">
                  <c:v>47.781673101952364</c:v>
                </c:pt>
                <c:pt idx="5">
                  <c:v>47.781673101952364</c:v>
                </c:pt>
                <c:pt idx="6">
                  <c:v>47.781673101952364</c:v>
                </c:pt>
                <c:pt idx="7">
                  <c:v>47.781673101952364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77C-004A-8669-782C56EAD4E9}"/>
            </c:ext>
          </c:extLst>
        </c:ser>
        <c:ser>
          <c:idx val="8"/>
          <c:order val="8"/>
          <c:tx>
            <c:v>Background FUV</c:v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'ETC First Principles'!$A$174:$A$181</c:f>
              <c:numCache>
                <c:formatCode>General</c:formatCode>
                <c:ptCount val="8"/>
                <c:pt idx="0" formatCode="0.0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Principles'!$D$174:$D$181</c:f>
              <c:numCache>
                <c:formatCode>0.00E+00</c:formatCode>
                <c:ptCount val="8"/>
                <c:pt idx="0">
                  <c:v>14.802469666829339</c:v>
                </c:pt>
                <c:pt idx="1">
                  <c:v>14.802469666829339</c:v>
                </c:pt>
                <c:pt idx="2">
                  <c:v>14.802469666829339</c:v>
                </c:pt>
                <c:pt idx="3">
                  <c:v>14.802469666829339</c:v>
                </c:pt>
                <c:pt idx="4">
                  <c:v>14.802469666829339</c:v>
                </c:pt>
                <c:pt idx="5">
                  <c:v>14.802469666829339</c:v>
                </c:pt>
                <c:pt idx="6">
                  <c:v>14.802469666829339</c:v>
                </c:pt>
                <c:pt idx="7">
                  <c:v>14.802469666829339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77C-004A-8669-782C56EAD4E9}"/>
            </c:ext>
          </c:extLst>
        </c:ser>
        <c:ser>
          <c:idx val="9"/>
          <c:order val="9"/>
          <c:tx>
            <c:v>Background NUV</c:v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'ETC First Principles'!$A$174:$A$181</c:f>
              <c:numCache>
                <c:formatCode>General</c:formatCode>
                <c:ptCount val="8"/>
                <c:pt idx="0" formatCode="0.0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Principles'!$E$174:$E$181</c:f>
              <c:numCache>
                <c:formatCode>0.00E+00</c:formatCode>
                <c:ptCount val="8"/>
                <c:pt idx="0">
                  <c:v>26.880318372154843</c:v>
                </c:pt>
                <c:pt idx="1">
                  <c:v>26.880318372154843</c:v>
                </c:pt>
                <c:pt idx="2">
                  <c:v>26.880318372154843</c:v>
                </c:pt>
                <c:pt idx="3">
                  <c:v>26.880318372154843</c:v>
                </c:pt>
                <c:pt idx="4">
                  <c:v>26.880318372154843</c:v>
                </c:pt>
                <c:pt idx="5">
                  <c:v>26.880318372154843</c:v>
                </c:pt>
                <c:pt idx="6">
                  <c:v>26.880318372154843</c:v>
                </c:pt>
                <c:pt idx="7">
                  <c:v>26.880318372154843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7C-004A-8669-782C56EAD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03040"/>
        <c:axId val="892823072"/>
      </c:scatterChart>
      <c:valAx>
        <c:axId val="893803040"/>
        <c:scaling>
          <c:logBase val="10"/>
          <c:orientation val="minMax"/>
          <c:max val="15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Flux (uJy)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823072"/>
        <c:crosses val="autoZero"/>
        <c:crossBetween val="midCat"/>
      </c:valAx>
      <c:valAx>
        <c:axId val="8928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803040"/>
        <c:crossesAt val="10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S/N vs. Flux</a:t>
            </a:r>
          </a:p>
          <a:p>
            <a:pPr>
              <a:defRPr/>
            </a:pPr>
            <a:r>
              <a:rPr lang="en-US"/>
              <a:t>Texp=10</a:t>
            </a:r>
            <a:r>
              <a:rPr lang="en-US" baseline="0"/>
              <a:t> min.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S/N NUV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Principles'!$D$139:$D$146</c:f>
              <c:numCache>
                <c:formatCode>General</c:formatCode>
                <c:ptCount val="8"/>
                <c:pt idx="0" formatCode="0.0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E-2140-9074-9C18786A7942}"/>
            </c:ext>
          </c:extLst>
        </c:ser>
        <c:ser>
          <c:idx val="1"/>
          <c:order val="1"/>
          <c:tx>
            <c:v>S/N FUV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'ETC First Principles'!$G$139:$G$146</c:f>
              <c:numCache>
                <c:formatCode>0.00</c:formatCode>
                <c:ptCount val="8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800</c:v>
                </c:pt>
                <c:pt idx="4">
                  <c:v>1600</c:v>
                </c:pt>
                <c:pt idx="5">
                  <c:v>3200</c:v>
                </c:pt>
                <c:pt idx="6">
                  <c:v>6400</c:v>
                </c:pt>
                <c:pt idx="7">
                  <c:v>12800</c:v>
                </c:pt>
              </c:numCache>
            </c:numRef>
          </c:xVal>
          <c:yVal>
            <c:numRef>
              <c:f>'ETC First Principles'!$F$139:$F$146</c:f>
              <c:numCache>
                <c:formatCode>0</c:formatCode>
                <c:ptCount val="8"/>
                <c:pt idx="0">
                  <c:v>1.2111832562618075</c:v>
                </c:pt>
                <c:pt idx="1">
                  <c:v>2.3926052178612411</c:v>
                </c:pt>
                <c:pt idx="2">
                  <c:v>4.6722920684167768</c:v>
                </c:pt>
                <c:pt idx="3">
                  <c:v>8.9358671330385331</c:v>
                </c:pt>
                <c:pt idx="4">
                  <c:v>16.506889379601802</c:v>
                </c:pt>
                <c:pt idx="5">
                  <c:v>28.983079432946319</c:v>
                </c:pt>
                <c:pt idx="6">
                  <c:v>47.811789734178646</c:v>
                </c:pt>
                <c:pt idx="7">
                  <c:v>73.992779249987748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5E-2140-9074-9C18786A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03040"/>
        <c:axId val="892823072"/>
      </c:scatterChart>
      <c:valAx>
        <c:axId val="893803040"/>
        <c:scaling>
          <c:logBase val="10"/>
          <c:orientation val="minMax"/>
          <c:max val="15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Flux (uJy)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823072"/>
        <c:crosses val="autoZero"/>
        <c:crossBetween val="midCat"/>
      </c:valAx>
      <c:valAx>
        <c:axId val="8928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S/N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803040"/>
        <c:crossesAt val="10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Noise vs. S/N</a:t>
            </a:r>
          </a:p>
          <a:p>
            <a:pPr>
              <a:defRPr/>
            </a:pPr>
            <a:r>
              <a:rPr lang="en-US"/>
              <a:t>Texp=10</a:t>
            </a:r>
            <a:r>
              <a:rPr lang="en-US" baseline="0"/>
              <a:t> min.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Poisson NUV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xVal>
          <c:yVal>
            <c:numRef>
              <c:f>'ETC First Principles'!$V$139:$V$146</c:f>
              <c:numCache>
                <c:formatCode>0.00</c:formatCode>
                <c:ptCount val="8"/>
                <c:pt idx="0">
                  <c:v>11.146427838202863</c:v>
                </c:pt>
                <c:pt idx="1">
                  <c:v>15.763429420799508</c:v>
                </c:pt>
                <c:pt idx="2">
                  <c:v>22.292855676405726</c:v>
                </c:pt>
                <c:pt idx="3">
                  <c:v>31.526858841599015</c:v>
                </c:pt>
                <c:pt idx="4">
                  <c:v>44.585711352811451</c:v>
                </c:pt>
                <c:pt idx="5">
                  <c:v>63.05371768319803</c:v>
                </c:pt>
                <c:pt idx="6">
                  <c:v>89.171422705622902</c:v>
                </c:pt>
                <c:pt idx="7">
                  <c:v>126.10743536639606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A0-3440-A797-3EBC0893E969}"/>
            </c:ext>
          </c:extLst>
        </c:ser>
        <c:ser>
          <c:idx val="1"/>
          <c:order val="1"/>
          <c:tx>
            <c:v>Poisson FUV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'ETC First Principles'!$F$139:$F$146</c:f>
              <c:numCache>
                <c:formatCode>0</c:formatCode>
                <c:ptCount val="8"/>
                <c:pt idx="0">
                  <c:v>1.2111832562618075</c:v>
                </c:pt>
                <c:pt idx="1">
                  <c:v>2.3926052178612411</c:v>
                </c:pt>
                <c:pt idx="2">
                  <c:v>4.6722920684167768</c:v>
                </c:pt>
                <c:pt idx="3">
                  <c:v>8.9358671330385331</c:v>
                </c:pt>
                <c:pt idx="4">
                  <c:v>16.506889379601802</c:v>
                </c:pt>
                <c:pt idx="5">
                  <c:v>28.983079432946319</c:v>
                </c:pt>
                <c:pt idx="6">
                  <c:v>47.811789734178646</c:v>
                </c:pt>
                <c:pt idx="7">
                  <c:v>73.992779249987748</c:v>
                </c:pt>
              </c:numCache>
            </c:numRef>
          </c:xVal>
          <c:yVal>
            <c:numRef>
              <c:f>'ETC First Principles'!$N$139:$N$146</c:f>
              <c:numCache>
                <c:formatCode>0.00</c:formatCode>
                <c:ptCount val="8"/>
                <c:pt idx="0">
                  <c:v>9.3831123008699695</c:v>
                </c:pt>
                <c:pt idx="1">
                  <c:v>13.269724673160129</c:v>
                </c:pt>
                <c:pt idx="2">
                  <c:v>18.766224601739939</c:v>
                </c:pt>
                <c:pt idx="3">
                  <c:v>26.539449346320257</c:v>
                </c:pt>
                <c:pt idx="4">
                  <c:v>37.532449203479878</c:v>
                </c:pt>
                <c:pt idx="5">
                  <c:v>53.078898692640514</c:v>
                </c:pt>
                <c:pt idx="6">
                  <c:v>75.064898406959756</c:v>
                </c:pt>
                <c:pt idx="7">
                  <c:v>106.15779738528103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A0-3440-A797-3EBC0893E969}"/>
            </c:ext>
          </c:extLst>
        </c:ser>
        <c:ser>
          <c:idx val="2"/>
          <c:order val="2"/>
          <c:tx>
            <c:v>Jitter FUV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'ETC First Principles'!$F$139:$F$146</c:f>
              <c:numCache>
                <c:formatCode>0</c:formatCode>
                <c:ptCount val="8"/>
                <c:pt idx="0">
                  <c:v>1.2111832562618075</c:v>
                </c:pt>
                <c:pt idx="1">
                  <c:v>2.3926052178612411</c:v>
                </c:pt>
                <c:pt idx="2">
                  <c:v>4.6722920684167768</c:v>
                </c:pt>
                <c:pt idx="3">
                  <c:v>8.9358671330385331</c:v>
                </c:pt>
                <c:pt idx="4">
                  <c:v>16.506889379601802</c:v>
                </c:pt>
                <c:pt idx="5">
                  <c:v>28.983079432946319</c:v>
                </c:pt>
                <c:pt idx="6">
                  <c:v>47.811789734178646</c:v>
                </c:pt>
                <c:pt idx="7">
                  <c:v>73.992779249987748</c:v>
                </c:pt>
              </c:numCache>
            </c:numRef>
          </c:xVal>
          <c:yVal>
            <c:numRef>
              <c:f>'ETC First Principles'!$O$139:$O$146</c:f>
              <c:numCache>
                <c:formatCode>0.00</c:formatCode>
                <c:ptCount val="8"/>
                <c:pt idx="0">
                  <c:v>0.21988436687437182</c:v>
                </c:pt>
                <c:pt idx="1">
                  <c:v>0.43976873374874365</c:v>
                </c:pt>
                <c:pt idx="2">
                  <c:v>0.87953746749748729</c:v>
                </c:pt>
                <c:pt idx="3">
                  <c:v>1.7590749349949746</c:v>
                </c:pt>
                <c:pt idx="4">
                  <c:v>3.5181498699899492</c:v>
                </c:pt>
                <c:pt idx="5">
                  <c:v>7.0362997399798983</c:v>
                </c:pt>
                <c:pt idx="6">
                  <c:v>14.072599479959797</c:v>
                </c:pt>
                <c:pt idx="7">
                  <c:v>28.145198959919593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A0-3440-A797-3EBC0893E969}"/>
            </c:ext>
          </c:extLst>
        </c:ser>
        <c:ser>
          <c:idx val="3"/>
          <c:order val="3"/>
          <c:tx>
            <c:v>Jitter NUV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xVal>
          <c:yVal>
            <c:numRef>
              <c:f>'ETC First Principles'!$W$139:$W$146</c:f>
              <c:numCache>
                <c:formatCode>0.00</c:formatCode>
                <c:ptCount val="8"/>
                <c:pt idx="0">
                  <c:v>0.30089015706896366</c:v>
                </c:pt>
                <c:pt idx="1">
                  <c:v>0.60178031413792732</c:v>
                </c:pt>
                <c:pt idx="2">
                  <c:v>1.2035606282758546</c:v>
                </c:pt>
                <c:pt idx="3">
                  <c:v>2.4071212565517093</c:v>
                </c:pt>
                <c:pt idx="4">
                  <c:v>4.8142425131034186</c:v>
                </c:pt>
                <c:pt idx="5">
                  <c:v>9.6284850262068371</c:v>
                </c:pt>
                <c:pt idx="6">
                  <c:v>19.256970052413674</c:v>
                </c:pt>
                <c:pt idx="7">
                  <c:v>38.513940104827348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A0-3440-A797-3EBC0893E969}"/>
            </c:ext>
          </c:extLst>
        </c:ser>
        <c:ser>
          <c:idx val="4"/>
          <c:order val="4"/>
          <c:tx>
            <c:v>Red Leak FUV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'ETC First Principles'!$F$139:$F$146</c:f>
              <c:numCache>
                <c:formatCode>0</c:formatCode>
                <c:ptCount val="8"/>
                <c:pt idx="0">
                  <c:v>1.2111832562618075</c:v>
                </c:pt>
                <c:pt idx="1">
                  <c:v>2.3926052178612411</c:v>
                </c:pt>
                <c:pt idx="2">
                  <c:v>4.6722920684167768</c:v>
                </c:pt>
                <c:pt idx="3">
                  <c:v>8.9358671330385331</c:v>
                </c:pt>
                <c:pt idx="4">
                  <c:v>16.506889379601802</c:v>
                </c:pt>
                <c:pt idx="5">
                  <c:v>28.983079432946319</c:v>
                </c:pt>
                <c:pt idx="6">
                  <c:v>47.811789734178646</c:v>
                </c:pt>
                <c:pt idx="7">
                  <c:v>73.992779249987748</c:v>
                </c:pt>
              </c:numCache>
            </c:numRef>
          </c:xVal>
          <c:yVal>
            <c:numRef>
              <c:f>'ETC First Principles'!$P$139:$P$146</c:f>
              <c:numCache>
                <c:formatCode>0.00</c:formatCode>
                <c:ptCount val="8"/>
                <c:pt idx="0">
                  <c:v>1.9153197780303048</c:v>
                </c:pt>
                <c:pt idx="1">
                  <c:v>2.708671206371883</c:v>
                </c:pt>
                <c:pt idx="2">
                  <c:v>3.8306395560606097</c:v>
                </c:pt>
                <c:pt idx="3">
                  <c:v>5.4173424127437659</c:v>
                </c:pt>
                <c:pt idx="4">
                  <c:v>7.6612791121212194</c:v>
                </c:pt>
                <c:pt idx="5">
                  <c:v>10.834684825487532</c:v>
                </c:pt>
                <c:pt idx="6">
                  <c:v>15.322558224242439</c:v>
                </c:pt>
                <c:pt idx="7">
                  <c:v>21.669369650975064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A0-3440-A797-3EBC0893E969}"/>
            </c:ext>
          </c:extLst>
        </c:ser>
        <c:ser>
          <c:idx val="5"/>
          <c:order val="5"/>
          <c:tx>
            <c:v>Red Leak NUV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xVal>
          <c:yVal>
            <c:numRef>
              <c:f>'ETC First Principles'!$X$139:$X$146</c:f>
              <c:numCache>
                <c:formatCode>0.00</c:formatCode>
                <c:ptCount val="8"/>
                <c:pt idx="0">
                  <c:v>1.1202581482451868</c:v>
                </c:pt>
                <c:pt idx="1">
                  <c:v>1.5842842666073123</c:v>
                </c:pt>
                <c:pt idx="2">
                  <c:v>2.2405162964903735</c:v>
                </c:pt>
                <c:pt idx="3">
                  <c:v>3.1685685332146245</c:v>
                </c:pt>
                <c:pt idx="4">
                  <c:v>4.4810325929807471</c:v>
                </c:pt>
                <c:pt idx="5">
                  <c:v>6.337137066429249</c:v>
                </c:pt>
                <c:pt idx="6">
                  <c:v>8.9620651859614942</c:v>
                </c:pt>
                <c:pt idx="7">
                  <c:v>12.674274132858498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A0-3440-A797-3EBC0893E969}"/>
            </c:ext>
          </c:extLst>
        </c:ser>
        <c:ser>
          <c:idx val="8"/>
          <c:order val="6"/>
          <c:tx>
            <c:v>Background FUV</c:v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'ETC First Principles'!$F$139:$F$146</c:f>
              <c:numCache>
                <c:formatCode>0</c:formatCode>
                <c:ptCount val="8"/>
                <c:pt idx="0">
                  <c:v>1.2111832562618075</c:v>
                </c:pt>
                <c:pt idx="1">
                  <c:v>2.3926052178612411</c:v>
                </c:pt>
                <c:pt idx="2">
                  <c:v>4.6722920684167768</c:v>
                </c:pt>
                <c:pt idx="3">
                  <c:v>8.9358671330385331</c:v>
                </c:pt>
                <c:pt idx="4">
                  <c:v>16.506889379601802</c:v>
                </c:pt>
                <c:pt idx="5">
                  <c:v>28.983079432946319</c:v>
                </c:pt>
                <c:pt idx="6">
                  <c:v>47.811789734178646</c:v>
                </c:pt>
                <c:pt idx="7">
                  <c:v>73.992779249987748</c:v>
                </c:pt>
              </c:numCache>
            </c:numRef>
          </c:xVal>
          <c:yVal>
            <c:numRef>
              <c:f>'ETC First Principles'!$D$174:$D$181</c:f>
              <c:numCache>
                <c:formatCode>0.00E+00</c:formatCode>
                <c:ptCount val="8"/>
                <c:pt idx="0">
                  <c:v>14.802469666829339</c:v>
                </c:pt>
                <c:pt idx="1">
                  <c:v>14.802469666829339</c:v>
                </c:pt>
                <c:pt idx="2">
                  <c:v>14.802469666829339</c:v>
                </c:pt>
                <c:pt idx="3">
                  <c:v>14.802469666829339</c:v>
                </c:pt>
                <c:pt idx="4">
                  <c:v>14.802469666829339</c:v>
                </c:pt>
                <c:pt idx="5">
                  <c:v>14.802469666829339</c:v>
                </c:pt>
                <c:pt idx="6">
                  <c:v>14.802469666829339</c:v>
                </c:pt>
                <c:pt idx="7">
                  <c:v>14.802469666829339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A0-3440-A797-3EBC0893E969}"/>
            </c:ext>
          </c:extLst>
        </c:ser>
        <c:ser>
          <c:idx val="9"/>
          <c:order val="7"/>
          <c:tx>
            <c:v>Background NUV</c:v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xVal>
          <c:yVal>
            <c:numRef>
              <c:f>'ETC First Principles'!$E$174:$E$181</c:f>
              <c:numCache>
                <c:formatCode>0.00E+00</c:formatCode>
                <c:ptCount val="8"/>
                <c:pt idx="0">
                  <c:v>26.880318372154843</c:v>
                </c:pt>
                <c:pt idx="1">
                  <c:v>26.880318372154843</c:v>
                </c:pt>
                <c:pt idx="2">
                  <c:v>26.880318372154843</c:v>
                </c:pt>
                <c:pt idx="3">
                  <c:v>26.880318372154843</c:v>
                </c:pt>
                <c:pt idx="4">
                  <c:v>26.880318372154843</c:v>
                </c:pt>
                <c:pt idx="5">
                  <c:v>26.880318372154843</c:v>
                </c:pt>
                <c:pt idx="6">
                  <c:v>26.880318372154843</c:v>
                </c:pt>
                <c:pt idx="7">
                  <c:v>26.880318372154843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A0-3440-A797-3EBC0893E969}"/>
            </c:ext>
          </c:extLst>
        </c:ser>
        <c:ser>
          <c:idx val="6"/>
          <c:order val="8"/>
          <c:tx>
            <c:v>RN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xVal>
          <c:yVal>
            <c:numRef>
              <c:f>'ETC First Principles'!$C$174:$C$181</c:f>
              <c:numCache>
                <c:formatCode>0.00</c:formatCode>
                <c:ptCount val="8"/>
                <c:pt idx="0">
                  <c:v>47.781673101952364</c:v>
                </c:pt>
                <c:pt idx="1">
                  <c:v>47.781673101952364</c:v>
                </c:pt>
                <c:pt idx="2">
                  <c:v>47.781673101952364</c:v>
                </c:pt>
                <c:pt idx="3">
                  <c:v>47.781673101952364</c:v>
                </c:pt>
                <c:pt idx="4">
                  <c:v>47.781673101952364</c:v>
                </c:pt>
                <c:pt idx="5">
                  <c:v>47.781673101952364</c:v>
                </c:pt>
                <c:pt idx="6">
                  <c:v>47.781673101952364</c:v>
                </c:pt>
                <c:pt idx="7">
                  <c:v>47.781673101952364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A0-3440-A797-3EBC0893E969}"/>
            </c:ext>
          </c:extLst>
        </c:ser>
        <c:ser>
          <c:idx val="7"/>
          <c:order val="9"/>
          <c:tx>
            <c:v>Dark Current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'ETC First Principles'!$C$139:$C$146</c:f>
              <c:numCache>
                <c:formatCode>0</c:formatCode>
                <c:ptCount val="8"/>
                <c:pt idx="0">
                  <c:v>1.6129341345398969</c:v>
                </c:pt>
                <c:pt idx="1">
                  <c:v>3.1777356917194735</c:v>
                </c:pt>
                <c:pt idx="2">
                  <c:v>6.1748266413564288</c:v>
                </c:pt>
                <c:pt idx="3">
                  <c:v>11.708271957002466</c:v>
                </c:pt>
                <c:pt idx="4">
                  <c:v>21.340010097743413</c:v>
                </c:pt>
                <c:pt idx="5">
                  <c:v>36.804694294676793</c:v>
                </c:pt>
                <c:pt idx="6">
                  <c:v>59.511615755505872</c:v>
                </c:pt>
                <c:pt idx="7">
                  <c:v>90.29377877507342</c:v>
                </c:pt>
              </c:numCache>
            </c:numRef>
          </c:xVal>
          <c:yVal>
            <c:numRef>
              <c:f>'ETC First Principles'!$B$174:$B$181</c:f>
              <c:numCache>
                <c:formatCode>0.00</c:formatCode>
                <c:ptCount val="8"/>
                <c:pt idx="0">
                  <c:v>32.896581913037799</c:v>
                </c:pt>
                <c:pt idx="1">
                  <c:v>32.896581913037799</c:v>
                </c:pt>
                <c:pt idx="2">
                  <c:v>32.896581913037799</c:v>
                </c:pt>
                <c:pt idx="3">
                  <c:v>32.896581913037799</c:v>
                </c:pt>
                <c:pt idx="4">
                  <c:v>32.896581913037799</c:v>
                </c:pt>
                <c:pt idx="5">
                  <c:v>32.896581913037799</c:v>
                </c:pt>
                <c:pt idx="6">
                  <c:v>32.896581913037799</c:v>
                </c:pt>
                <c:pt idx="7">
                  <c:v>32.896581913037799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A0-3440-A797-3EBC0893E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03040"/>
        <c:axId val="892823072"/>
      </c:scatterChart>
      <c:valAx>
        <c:axId val="893803040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S/N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823072"/>
        <c:crosses val="autoZero"/>
        <c:crossBetween val="midCat"/>
      </c:valAx>
      <c:valAx>
        <c:axId val="8928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803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Baseline FUV - JPL 7 Layer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JPL 7 Layer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'Filter JPL 7-layer Aggressive 2'!$A$4:$A$904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xVal>
          <c:yVal>
            <c:numRef>
              <c:f>'Filter JPL 7-layer Aggressive 2'!$D$4:$D$904</c:f>
              <c:numCache>
                <c:formatCode>General</c:formatCode>
                <c:ptCount val="901"/>
                <c:pt idx="0">
                  <c:v>6.9999999999999999E-4</c:v>
                </c:pt>
                <c:pt idx="1">
                  <c:v>1E-3</c:v>
                </c:pt>
                <c:pt idx="2">
                  <c:v>2.5999999999999999E-3</c:v>
                </c:pt>
                <c:pt idx="3">
                  <c:v>6.1000000000000004E-3</c:v>
                </c:pt>
                <c:pt idx="4">
                  <c:v>1.17E-2</c:v>
                </c:pt>
                <c:pt idx="5">
                  <c:v>2.2200000000000001E-2</c:v>
                </c:pt>
                <c:pt idx="6">
                  <c:v>4.1099999999999998E-2</c:v>
                </c:pt>
                <c:pt idx="7">
                  <c:v>6.6900000000000001E-2</c:v>
                </c:pt>
                <c:pt idx="8">
                  <c:v>8.5400000000000004E-2</c:v>
                </c:pt>
                <c:pt idx="9">
                  <c:v>0.1077</c:v>
                </c:pt>
                <c:pt idx="10">
                  <c:v>0.1341</c:v>
                </c:pt>
                <c:pt idx="11">
                  <c:v>0.1021</c:v>
                </c:pt>
                <c:pt idx="12">
                  <c:v>7.9399999999999998E-2</c:v>
                </c:pt>
                <c:pt idx="13">
                  <c:v>6.4100000000000004E-2</c:v>
                </c:pt>
                <c:pt idx="14">
                  <c:v>5.2999999999999999E-2</c:v>
                </c:pt>
                <c:pt idx="15">
                  <c:v>4.5699999999999998E-2</c:v>
                </c:pt>
                <c:pt idx="16">
                  <c:v>4.1599999999999998E-2</c:v>
                </c:pt>
                <c:pt idx="17">
                  <c:v>4.0300000000000002E-2</c:v>
                </c:pt>
                <c:pt idx="18">
                  <c:v>0.04</c:v>
                </c:pt>
                <c:pt idx="19">
                  <c:v>4.0399999999999998E-2</c:v>
                </c:pt>
                <c:pt idx="20">
                  <c:v>4.1500000000000002E-2</c:v>
                </c:pt>
                <c:pt idx="21">
                  <c:v>4.3299999999999998E-2</c:v>
                </c:pt>
                <c:pt idx="22">
                  <c:v>4.6199999999999998E-2</c:v>
                </c:pt>
                <c:pt idx="23">
                  <c:v>5.0900000000000001E-2</c:v>
                </c:pt>
                <c:pt idx="24">
                  <c:v>5.7599999999999998E-2</c:v>
                </c:pt>
                <c:pt idx="25">
                  <c:v>6.7400000000000002E-2</c:v>
                </c:pt>
                <c:pt idx="26">
                  <c:v>8.09E-2</c:v>
                </c:pt>
                <c:pt idx="27">
                  <c:v>9.9699999999999997E-2</c:v>
                </c:pt>
                <c:pt idx="28">
                  <c:v>0.1268</c:v>
                </c:pt>
                <c:pt idx="29">
                  <c:v>0.16589999999999999</c:v>
                </c:pt>
                <c:pt idx="30">
                  <c:v>0.22409999999999999</c:v>
                </c:pt>
                <c:pt idx="31">
                  <c:v>0.31290000000000001</c:v>
                </c:pt>
                <c:pt idx="32">
                  <c:v>0.45279999999999998</c:v>
                </c:pt>
                <c:pt idx="33">
                  <c:v>0.68049999999999999</c:v>
                </c:pt>
                <c:pt idx="34">
                  <c:v>0.93669999999999998</c:v>
                </c:pt>
                <c:pt idx="35">
                  <c:v>1.0814999999999999</c:v>
                </c:pt>
                <c:pt idx="36">
                  <c:v>1.2551000000000001</c:v>
                </c:pt>
                <c:pt idx="37">
                  <c:v>1.4637</c:v>
                </c:pt>
                <c:pt idx="38">
                  <c:v>1.716</c:v>
                </c:pt>
                <c:pt idx="39">
                  <c:v>2.0246</c:v>
                </c:pt>
                <c:pt idx="40">
                  <c:v>2.3988999999999998</c:v>
                </c:pt>
                <c:pt idx="41">
                  <c:v>2.8546999999999998</c:v>
                </c:pt>
                <c:pt idx="42">
                  <c:v>3.4106000000000001</c:v>
                </c:pt>
                <c:pt idx="43">
                  <c:v>4.0902000000000003</c:v>
                </c:pt>
                <c:pt idx="44">
                  <c:v>4.9688999999999997</c:v>
                </c:pt>
                <c:pt idx="45">
                  <c:v>6.1433</c:v>
                </c:pt>
                <c:pt idx="46">
                  <c:v>7.5922999999999998</c:v>
                </c:pt>
                <c:pt idx="47">
                  <c:v>9.3787000000000003</c:v>
                </c:pt>
                <c:pt idx="48">
                  <c:v>11.528</c:v>
                </c:pt>
                <c:pt idx="49">
                  <c:v>14.051</c:v>
                </c:pt>
                <c:pt idx="50">
                  <c:v>16.915700000000001</c:v>
                </c:pt>
                <c:pt idx="51">
                  <c:v>20.057500000000001</c:v>
                </c:pt>
                <c:pt idx="52">
                  <c:v>23.316500000000001</c:v>
                </c:pt>
                <c:pt idx="53">
                  <c:v>26.507000000000001</c:v>
                </c:pt>
                <c:pt idx="54">
                  <c:v>29.447199999999999</c:v>
                </c:pt>
                <c:pt idx="55">
                  <c:v>32.875999999999998</c:v>
                </c:pt>
                <c:pt idx="56">
                  <c:v>35.709499999999998</c:v>
                </c:pt>
                <c:pt idx="57">
                  <c:v>37.0383</c:v>
                </c:pt>
                <c:pt idx="58">
                  <c:v>37.4298</c:v>
                </c:pt>
                <c:pt idx="59">
                  <c:v>37.185600000000001</c:v>
                </c:pt>
                <c:pt idx="60">
                  <c:v>36.336599999999997</c:v>
                </c:pt>
                <c:pt idx="61">
                  <c:v>34.876100000000001</c:v>
                </c:pt>
                <c:pt idx="62">
                  <c:v>33.486699999999999</c:v>
                </c:pt>
                <c:pt idx="63">
                  <c:v>31.791899999999998</c:v>
                </c:pt>
                <c:pt idx="64">
                  <c:v>29.840399999999999</c:v>
                </c:pt>
                <c:pt idx="65">
                  <c:v>27.697099999999999</c:v>
                </c:pt>
                <c:pt idx="66">
                  <c:v>25.428599999999999</c:v>
                </c:pt>
                <c:pt idx="67">
                  <c:v>23.136199999999999</c:v>
                </c:pt>
                <c:pt idx="68">
                  <c:v>20.890699999999999</c:v>
                </c:pt>
                <c:pt idx="69">
                  <c:v>18.742599999999999</c:v>
                </c:pt>
                <c:pt idx="70">
                  <c:v>16.728999999999999</c:v>
                </c:pt>
                <c:pt idx="71">
                  <c:v>14.871600000000001</c:v>
                </c:pt>
                <c:pt idx="72">
                  <c:v>13.1739</c:v>
                </c:pt>
                <c:pt idx="73">
                  <c:v>11.6325</c:v>
                </c:pt>
                <c:pt idx="74">
                  <c:v>10.2437</c:v>
                </c:pt>
                <c:pt idx="75">
                  <c:v>8.9989000000000008</c:v>
                </c:pt>
                <c:pt idx="76">
                  <c:v>7.9051</c:v>
                </c:pt>
                <c:pt idx="77">
                  <c:v>6.9318999999999997</c:v>
                </c:pt>
                <c:pt idx="78">
                  <c:v>6.0822000000000003</c:v>
                </c:pt>
                <c:pt idx="79">
                  <c:v>5.3318000000000003</c:v>
                </c:pt>
                <c:pt idx="80">
                  <c:v>4.6696999999999997</c:v>
                </c:pt>
                <c:pt idx="81">
                  <c:v>4.08</c:v>
                </c:pt>
                <c:pt idx="82">
                  <c:v>3.5615999999999999</c:v>
                </c:pt>
                <c:pt idx="83">
                  <c:v>3.1073</c:v>
                </c:pt>
                <c:pt idx="84">
                  <c:v>2.7105999999999999</c:v>
                </c:pt>
                <c:pt idx="85">
                  <c:v>2.3656000000000001</c:v>
                </c:pt>
                <c:pt idx="86">
                  <c:v>2.0678000000000001</c:v>
                </c:pt>
                <c:pt idx="87">
                  <c:v>1.8087</c:v>
                </c:pt>
                <c:pt idx="88">
                  <c:v>1.5834999999999999</c:v>
                </c:pt>
                <c:pt idx="89">
                  <c:v>1.3879999999999999</c:v>
                </c:pt>
                <c:pt idx="90">
                  <c:v>1.2181</c:v>
                </c:pt>
                <c:pt idx="91">
                  <c:v>1.0706</c:v>
                </c:pt>
                <c:pt idx="92">
                  <c:v>0.94230000000000003</c:v>
                </c:pt>
                <c:pt idx="93">
                  <c:v>0.83069999999999999</c:v>
                </c:pt>
                <c:pt idx="94">
                  <c:v>0.73370000000000002</c:v>
                </c:pt>
                <c:pt idx="95">
                  <c:v>0.6492</c:v>
                </c:pt>
                <c:pt idx="96">
                  <c:v>0.57489999999999997</c:v>
                </c:pt>
                <c:pt idx="97">
                  <c:v>0.5101</c:v>
                </c:pt>
                <c:pt idx="98">
                  <c:v>0.45350000000000001</c:v>
                </c:pt>
                <c:pt idx="99">
                  <c:v>0.40410000000000001</c:v>
                </c:pt>
                <c:pt idx="100">
                  <c:v>0.36080000000000001</c:v>
                </c:pt>
                <c:pt idx="101">
                  <c:v>0.32650000000000001</c:v>
                </c:pt>
                <c:pt idx="102">
                  <c:v>0.2959</c:v>
                </c:pt>
                <c:pt idx="103">
                  <c:v>0.26860000000000001</c:v>
                </c:pt>
                <c:pt idx="104">
                  <c:v>0.2442</c:v>
                </c:pt>
                <c:pt idx="105">
                  <c:v>0.22239999999999999</c:v>
                </c:pt>
                <c:pt idx="106">
                  <c:v>0.20300000000000001</c:v>
                </c:pt>
                <c:pt idx="107">
                  <c:v>0.1855</c:v>
                </c:pt>
                <c:pt idx="108">
                  <c:v>0.1699</c:v>
                </c:pt>
                <c:pt idx="109">
                  <c:v>0.15559999999999999</c:v>
                </c:pt>
                <c:pt idx="110">
                  <c:v>0.1429</c:v>
                </c:pt>
                <c:pt idx="111">
                  <c:v>0.1313</c:v>
                </c:pt>
                <c:pt idx="112">
                  <c:v>0.1208</c:v>
                </c:pt>
                <c:pt idx="113">
                  <c:v>0.11119999999999999</c:v>
                </c:pt>
                <c:pt idx="114">
                  <c:v>0.1026</c:v>
                </c:pt>
                <c:pt idx="115">
                  <c:v>9.4799999999999995E-2</c:v>
                </c:pt>
                <c:pt idx="116">
                  <c:v>8.7800000000000003E-2</c:v>
                </c:pt>
                <c:pt idx="117">
                  <c:v>8.14E-2</c:v>
                </c:pt>
                <c:pt idx="118">
                  <c:v>7.5399999999999995E-2</c:v>
                </c:pt>
                <c:pt idx="119">
                  <c:v>7.0099999999999996E-2</c:v>
                </c:pt>
                <c:pt idx="120">
                  <c:v>6.5299999999999997E-2</c:v>
                </c:pt>
                <c:pt idx="121">
                  <c:v>6.0900000000000003E-2</c:v>
                </c:pt>
                <c:pt idx="122">
                  <c:v>5.6899999999999999E-2</c:v>
                </c:pt>
                <c:pt idx="123">
                  <c:v>5.33E-2</c:v>
                </c:pt>
                <c:pt idx="124">
                  <c:v>0.05</c:v>
                </c:pt>
                <c:pt idx="125">
                  <c:v>4.7E-2</c:v>
                </c:pt>
                <c:pt idx="126">
                  <c:v>4.4299999999999999E-2</c:v>
                </c:pt>
                <c:pt idx="127">
                  <c:v>4.19E-2</c:v>
                </c:pt>
                <c:pt idx="128">
                  <c:v>3.9800000000000002E-2</c:v>
                </c:pt>
                <c:pt idx="129">
                  <c:v>3.7999999999999999E-2</c:v>
                </c:pt>
                <c:pt idx="130">
                  <c:v>3.6400000000000002E-2</c:v>
                </c:pt>
                <c:pt idx="131">
                  <c:v>3.5000000000000003E-2</c:v>
                </c:pt>
                <c:pt idx="132">
                  <c:v>3.3599999999999998E-2</c:v>
                </c:pt>
                <c:pt idx="133">
                  <c:v>3.2199999999999999E-2</c:v>
                </c:pt>
                <c:pt idx="134">
                  <c:v>3.09E-2</c:v>
                </c:pt>
                <c:pt idx="135">
                  <c:v>2.9600000000000001E-2</c:v>
                </c:pt>
                <c:pt idx="136">
                  <c:v>2.8199999999999999E-2</c:v>
                </c:pt>
                <c:pt idx="137">
                  <c:v>2.69E-2</c:v>
                </c:pt>
                <c:pt idx="138">
                  <c:v>2.5499999999999998E-2</c:v>
                </c:pt>
                <c:pt idx="139">
                  <c:v>2.4199999999999999E-2</c:v>
                </c:pt>
                <c:pt idx="140">
                  <c:v>2.29E-2</c:v>
                </c:pt>
                <c:pt idx="141">
                  <c:v>2.1700000000000001E-2</c:v>
                </c:pt>
                <c:pt idx="142">
                  <c:v>2.0500000000000001E-2</c:v>
                </c:pt>
                <c:pt idx="143">
                  <c:v>1.9400000000000001E-2</c:v>
                </c:pt>
                <c:pt idx="144">
                  <c:v>1.83E-2</c:v>
                </c:pt>
                <c:pt idx="145">
                  <c:v>1.7299999999999999E-2</c:v>
                </c:pt>
                <c:pt idx="146">
                  <c:v>1.6400000000000001E-2</c:v>
                </c:pt>
                <c:pt idx="147">
                  <c:v>1.55E-2</c:v>
                </c:pt>
                <c:pt idx="148">
                  <c:v>1.46E-2</c:v>
                </c:pt>
                <c:pt idx="149">
                  <c:v>1.38E-2</c:v>
                </c:pt>
                <c:pt idx="150">
                  <c:v>1.3100000000000001E-2</c:v>
                </c:pt>
                <c:pt idx="151">
                  <c:v>1.23E-2</c:v>
                </c:pt>
                <c:pt idx="152">
                  <c:v>1.17E-2</c:v>
                </c:pt>
                <c:pt idx="153">
                  <c:v>1.0999999999999999E-2</c:v>
                </c:pt>
                <c:pt idx="154">
                  <c:v>1.0500000000000001E-2</c:v>
                </c:pt>
                <c:pt idx="155">
                  <c:v>9.9000000000000008E-3</c:v>
                </c:pt>
                <c:pt idx="156">
                  <c:v>9.4000000000000004E-3</c:v>
                </c:pt>
                <c:pt idx="157">
                  <c:v>8.8999999999999999E-3</c:v>
                </c:pt>
                <c:pt idx="158">
                  <c:v>8.5000000000000006E-3</c:v>
                </c:pt>
                <c:pt idx="159">
                  <c:v>8.0000000000000002E-3</c:v>
                </c:pt>
                <c:pt idx="160">
                  <c:v>7.6E-3</c:v>
                </c:pt>
                <c:pt idx="161">
                  <c:v>7.3000000000000001E-3</c:v>
                </c:pt>
                <c:pt idx="162">
                  <c:v>6.8999999999999999E-3</c:v>
                </c:pt>
                <c:pt idx="163">
                  <c:v>6.6E-3</c:v>
                </c:pt>
                <c:pt idx="164">
                  <c:v>6.3E-3</c:v>
                </c:pt>
                <c:pt idx="165">
                  <c:v>6.0000000000000001E-3</c:v>
                </c:pt>
                <c:pt idx="166">
                  <c:v>5.7000000000000002E-3</c:v>
                </c:pt>
                <c:pt idx="167">
                  <c:v>5.4000000000000003E-3</c:v>
                </c:pt>
                <c:pt idx="168">
                  <c:v>5.1999999999999998E-3</c:v>
                </c:pt>
                <c:pt idx="169">
                  <c:v>5.0000000000000001E-3</c:v>
                </c:pt>
                <c:pt idx="170">
                  <c:v>4.7999999999999996E-3</c:v>
                </c:pt>
                <c:pt idx="171">
                  <c:v>4.5999999999999999E-3</c:v>
                </c:pt>
                <c:pt idx="172">
                  <c:v>4.4999999999999997E-3</c:v>
                </c:pt>
                <c:pt idx="173">
                  <c:v>4.3E-3</c:v>
                </c:pt>
                <c:pt idx="174">
                  <c:v>4.1999999999999997E-3</c:v>
                </c:pt>
                <c:pt idx="175">
                  <c:v>4.1000000000000003E-3</c:v>
                </c:pt>
                <c:pt idx="176">
                  <c:v>4.0000000000000001E-3</c:v>
                </c:pt>
                <c:pt idx="177">
                  <c:v>3.8999999999999998E-3</c:v>
                </c:pt>
                <c:pt idx="178">
                  <c:v>3.8999999999999998E-3</c:v>
                </c:pt>
                <c:pt idx="179">
                  <c:v>3.8E-3</c:v>
                </c:pt>
                <c:pt idx="180">
                  <c:v>3.7000000000000002E-3</c:v>
                </c:pt>
                <c:pt idx="181">
                  <c:v>3.7000000000000002E-3</c:v>
                </c:pt>
                <c:pt idx="182">
                  <c:v>3.5999999999999999E-3</c:v>
                </c:pt>
                <c:pt idx="183">
                  <c:v>3.5000000000000001E-3</c:v>
                </c:pt>
                <c:pt idx="184">
                  <c:v>3.5000000000000001E-3</c:v>
                </c:pt>
                <c:pt idx="185">
                  <c:v>3.3999999999999998E-3</c:v>
                </c:pt>
                <c:pt idx="186">
                  <c:v>3.3999999999999998E-3</c:v>
                </c:pt>
                <c:pt idx="187">
                  <c:v>3.3999999999999998E-3</c:v>
                </c:pt>
                <c:pt idx="188">
                  <c:v>3.3E-3</c:v>
                </c:pt>
                <c:pt idx="189">
                  <c:v>3.3E-3</c:v>
                </c:pt>
                <c:pt idx="190">
                  <c:v>3.3E-3</c:v>
                </c:pt>
                <c:pt idx="191">
                  <c:v>3.3999999999999998E-3</c:v>
                </c:pt>
                <c:pt idx="192">
                  <c:v>3.3999999999999998E-3</c:v>
                </c:pt>
                <c:pt idx="193">
                  <c:v>3.3999999999999998E-3</c:v>
                </c:pt>
                <c:pt idx="194">
                  <c:v>3.3999999999999998E-3</c:v>
                </c:pt>
                <c:pt idx="195">
                  <c:v>3.3999999999999998E-3</c:v>
                </c:pt>
                <c:pt idx="196">
                  <c:v>3.3999999999999998E-3</c:v>
                </c:pt>
                <c:pt idx="197">
                  <c:v>3.3999999999999998E-3</c:v>
                </c:pt>
                <c:pt idx="198">
                  <c:v>3.3999999999999998E-3</c:v>
                </c:pt>
                <c:pt idx="199">
                  <c:v>3.3999999999999998E-3</c:v>
                </c:pt>
                <c:pt idx="200">
                  <c:v>3.3E-3</c:v>
                </c:pt>
                <c:pt idx="201">
                  <c:v>3.3E-3</c:v>
                </c:pt>
                <c:pt idx="202">
                  <c:v>3.3E-3</c:v>
                </c:pt>
                <c:pt idx="203">
                  <c:v>3.3E-3</c:v>
                </c:pt>
                <c:pt idx="204">
                  <c:v>3.2000000000000002E-3</c:v>
                </c:pt>
                <c:pt idx="205">
                  <c:v>3.2000000000000002E-3</c:v>
                </c:pt>
                <c:pt idx="206">
                  <c:v>3.0999999999999999E-3</c:v>
                </c:pt>
                <c:pt idx="207">
                  <c:v>3.0999999999999999E-3</c:v>
                </c:pt>
                <c:pt idx="208">
                  <c:v>3.0999999999999999E-3</c:v>
                </c:pt>
                <c:pt idx="209">
                  <c:v>3.0000000000000001E-3</c:v>
                </c:pt>
                <c:pt idx="210">
                  <c:v>3.0000000000000001E-3</c:v>
                </c:pt>
                <c:pt idx="211">
                  <c:v>3.0000000000000001E-3</c:v>
                </c:pt>
                <c:pt idx="212">
                  <c:v>2.8999999999999998E-3</c:v>
                </c:pt>
                <c:pt idx="213">
                  <c:v>2.8999999999999998E-3</c:v>
                </c:pt>
                <c:pt idx="214">
                  <c:v>2.8E-3</c:v>
                </c:pt>
                <c:pt idx="215">
                  <c:v>2.8E-3</c:v>
                </c:pt>
                <c:pt idx="216">
                  <c:v>2.8E-3</c:v>
                </c:pt>
                <c:pt idx="217">
                  <c:v>2.7000000000000001E-3</c:v>
                </c:pt>
                <c:pt idx="218">
                  <c:v>2.7000000000000001E-3</c:v>
                </c:pt>
                <c:pt idx="219">
                  <c:v>2.5999999999999999E-3</c:v>
                </c:pt>
                <c:pt idx="220">
                  <c:v>2.5999999999999999E-3</c:v>
                </c:pt>
                <c:pt idx="221">
                  <c:v>2.5999999999999999E-3</c:v>
                </c:pt>
                <c:pt idx="222">
                  <c:v>2.5000000000000001E-3</c:v>
                </c:pt>
                <c:pt idx="223">
                  <c:v>2.5000000000000001E-3</c:v>
                </c:pt>
                <c:pt idx="224">
                  <c:v>2.3999999999999998E-3</c:v>
                </c:pt>
                <c:pt idx="225">
                  <c:v>2.3999999999999998E-3</c:v>
                </c:pt>
                <c:pt idx="226">
                  <c:v>2.3999999999999998E-3</c:v>
                </c:pt>
                <c:pt idx="227">
                  <c:v>2.3E-3</c:v>
                </c:pt>
                <c:pt idx="228">
                  <c:v>2.3E-3</c:v>
                </c:pt>
                <c:pt idx="229">
                  <c:v>2.3E-3</c:v>
                </c:pt>
                <c:pt idx="230">
                  <c:v>2.2000000000000001E-3</c:v>
                </c:pt>
                <c:pt idx="231">
                  <c:v>2.2000000000000001E-3</c:v>
                </c:pt>
                <c:pt idx="232">
                  <c:v>2.2000000000000001E-3</c:v>
                </c:pt>
                <c:pt idx="233">
                  <c:v>2.0999999999999999E-3</c:v>
                </c:pt>
                <c:pt idx="234">
                  <c:v>2.0999999999999999E-3</c:v>
                </c:pt>
                <c:pt idx="235">
                  <c:v>2.0999999999999999E-3</c:v>
                </c:pt>
                <c:pt idx="236">
                  <c:v>2.0999999999999999E-3</c:v>
                </c:pt>
                <c:pt idx="237">
                  <c:v>2E-3</c:v>
                </c:pt>
                <c:pt idx="238">
                  <c:v>2E-3</c:v>
                </c:pt>
                <c:pt idx="239">
                  <c:v>2E-3</c:v>
                </c:pt>
                <c:pt idx="240">
                  <c:v>1.9E-3</c:v>
                </c:pt>
                <c:pt idx="241">
                  <c:v>1.9E-3</c:v>
                </c:pt>
                <c:pt idx="242">
                  <c:v>1.9E-3</c:v>
                </c:pt>
                <c:pt idx="243">
                  <c:v>1.8E-3</c:v>
                </c:pt>
                <c:pt idx="244">
                  <c:v>1.8E-3</c:v>
                </c:pt>
                <c:pt idx="245">
                  <c:v>1.8E-3</c:v>
                </c:pt>
                <c:pt idx="246">
                  <c:v>1.8E-3</c:v>
                </c:pt>
                <c:pt idx="247">
                  <c:v>1.6999999999999999E-3</c:v>
                </c:pt>
                <c:pt idx="248">
                  <c:v>1.6999999999999999E-3</c:v>
                </c:pt>
                <c:pt idx="249">
                  <c:v>1.6999999999999999E-3</c:v>
                </c:pt>
                <c:pt idx="250">
                  <c:v>1.6999999999999999E-3</c:v>
                </c:pt>
                <c:pt idx="251">
                  <c:v>1.6000000000000001E-3</c:v>
                </c:pt>
                <c:pt idx="252">
                  <c:v>1.6000000000000001E-3</c:v>
                </c:pt>
                <c:pt idx="253">
                  <c:v>1.6000000000000001E-3</c:v>
                </c:pt>
                <c:pt idx="254">
                  <c:v>1.6000000000000001E-3</c:v>
                </c:pt>
                <c:pt idx="255">
                  <c:v>1.5E-3</c:v>
                </c:pt>
                <c:pt idx="256">
                  <c:v>1.5E-3</c:v>
                </c:pt>
                <c:pt idx="257">
                  <c:v>1.5E-3</c:v>
                </c:pt>
                <c:pt idx="258">
                  <c:v>1.5E-3</c:v>
                </c:pt>
                <c:pt idx="259">
                  <c:v>1.4E-3</c:v>
                </c:pt>
                <c:pt idx="260">
                  <c:v>1.4E-3</c:v>
                </c:pt>
                <c:pt idx="261">
                  <c:v>1.4E-3</c:v>
                </c:pt>
                <c:pt idx="262">
                  <c:v>1.4E-3</c:v>
                </c:pt>
                <c:pt idx="263">
                  <c:v>1.4E-3</c:v>
                </c:pt>
                <c:pt idx="264">
                  <c:v>1.2999999999999999E-3</c:v>
                </c:pt>
                <c:pt idx="265">
                  <c:v>1.2999999999999999E-3</c:v>
                </c:pt>
                <c:pt idx="266">
                  <c:v>1.2999999999999999E-3</c:v>
                </c:pt>
                <c:pt idx="267">
                  <c:v>1.2999999999999999E-3</c:v>
                </c:pt>
                <c:pt idx="268">
                  <c:v>1.2999999999999999E-3</c:v>
                </c:pt>
                <c:pt idx="269">
                  <c:v>1.2999999999999999E-3</c:v>
                </c:pt>
                <c:pt idx="270">
                  <c:v>1.2999999999999999E-3</c:v>
                </c:pt>
                <c:pt idx="271">
                  <c:v>1.2999999999999999E-3</c:v>
                </c:pt>
                <c:pt idx="272">
                  <c:v>1.2999999999999999E-3</c:v>
                </c:pt>
                <c:pt idx="273">
                  <c:v>1.2999999999999999E-3</c:v>
                </c:pt>
                <c:pt idx="274">
                  <c:v>1.2999999999999999E-3</c:v>
                </c:pt>
                <c:pt idx="275">
                  <c:v>1.2999999999999999E-3</c:v>
                </c:pt>
                <c:pt idx="276">
                  <c:v>1.2999999999999999E-3</c:v>
                </c:pt>
                <c:pt idx="277">
                  <c:v>1.2999999999999999E-3</c:v>
                </c:pt>
                <c:pt idx="278">
                  <c:v>1.2999999999999999E-3</c:v>
                </c:pt>
                <c:pt idx="279">
                  <c:v>1.2999999999999999E-3</c:v>
                </c:pt>
                <c:pt idx="280">
                  <c:v>1.2999999999999999E-3</c:v>
                </c:pt>
                <c:pt idx="281">
                  <c:v>1.2999999999999999E-3</c:v>
                </c:pt>
                <c:pt idx="282">
                  <c:v>1.2999999999999999E-3</c:v>
                </c:pt>
                <c:pt idx="283">
                  <c:v>1.2999999999999999E-3</c:v>
                </c:pt>
                <c:pt idx="284">
                  <c:v>1.2999999999999999E-3</c:v>
                </c:pt>
                <c:pt idx="285">
                  <c:v>1.2999999999999999E-3</c:v>
                </c:pt>
                <c:pt idx="286">
                  <c:v>1.2999999999999999E-3</c:v>
                </c:pt>
                <c:pt idx="287">
                  <c:v>1.2999999999999999E-3</c:v>
                </c:pt>
                <c:pt idx="288">
                  <c:v>1.2999999999999999E-3</c:v>
                </c:pt>
                <c:pt idx="289">
                  <c:v>1.2999999999999999E-3</c:v>
                </c:pt>
                <c:pt idx="290">
                  <c:v>1.2999999999999999E-3</c:v>
                </c:pt>
                <c:pt idx="291">
                  <c:v>1.2999999999999999E-3</c:v>
                </c:pt>
                <c:pt idx="292">
                  <c:v>1.2999999999999999E-3</c:v>
                </c:pt>
                <c:pt idx="293">
                  <c:v>1.2999999999999999E-3</c:v>
                </c:pt>
                <c:pt idx="294">
                  <c:v>1.2999999999999999E-3</c:v>
                </c:pt>
                <c:pt idx="295">
                  <c:v>1.2999999999999999E-3</c:v>
                </c:pt>
                <c:pt idx="296">
                  <c:v>1.2999999999999999E-3</c:v>
                </c:pt>
                <c:pt idx="297">
                  <c:v>1.2999999999999999E-3</c:v>
                </c:pt>
                <c:pt idx="298">
                  <c:v>1.2999999999999999E-3</c:v>
                </c:pt>
                <c:pt idx="299">
                  <c:v>1.2999999999999999E-3</c:v>
                </c:pt>
                <c:pt idx="300">
                  <c:v>1.2999999999999999E-3</c:v>
                </c:pt>
                <c:pt idx="301">
                  <c:v>1.2999999999999999E-3</c:v>
                </c:pt>
                <c:pt idx="302">
                  <c:v>1.2999999999999999E-3</c:v>
                </c:pt>
                <c:pt idx="303">
                  <c:v>1.2999999999999999E-3</c:v>
                </c:pt>
                <c:pt idx="304">
                  <c:v>1.2999999999999999E-3</c:v>
                </c:pt>
                <c:pt idx="305">
                  <c:v>1.2999999999999999E-3</c:v>
                </c:pt>
                <c:pt idx="306">
                  <c:v>1.2999999999999999E-3</c:v>
                </c:pt>
                <c:pt idx="307">
                  <c:v>1.2999999999999999E-3</c:v>
                </c:pt>
                <c:pt idx="308">
                  <c:v>1.2999999999999999E-3</c:v>
                </c:pt>
                <c:pt idx="309">
                  <c:v>1.2999999999999999E-3</c:v>
                </c:pt>
                <c:pt idx="310">
                  <c:v>1.2999999999999999E-3</c:v>
                </c:pt>
                <c:pt idx="311">
                  <c:v>1.2999999999999999E-3</c:v>
                </c:pt>
                <c:pt idx="312">
                  <c:v>1.2999999999999999E-3</c:v>
                </c:pt>
                <c:pt idx="313">
                  <c:v>1.2999999999999999E-3</c:v>
                </c:pt>
                <c:pt idx="314">
                  <c:v>1.2999999999999999E-3</c:v>
                </c:pt>
                <c:pt idx="315">
                  <c:v>1.2999999999999999E-3</c:v>
                </c:pt>
                <c:pt idx="316">
                  <c:v>1.2999999999999999E-3</c:v>
                </c:pt>
                <c:pt idx="317">
                  <c:v>1.2999999999999999E-3</c:v>
                </c:pt>
                <c:pt idx="318">
                  <c:v>1.2999999999999999E-3</c:v>
                </c:pt>
                <c:pt idx="319">
                  <c:v>1.2999999999999999E-3</c:v>
                </c:pt>
                <c:pt idx="320">
                  <c:v>1.1999999999999999E-3</c:v>
                </c:pt>
                <c:pt idx="321">
                  <c:v>1.1999999999999999E-3</c:v>
                </c:pt>
                <c:pt idx="322">
                  <c:v>1.1999999999999999E-3</c:v>
                </c:pt>
                <c:pt idx="323">
                  <c:v>1.1999999999999999E-3</c:v>
                </c:pt>
                <c:pt idx="324">
                  <c:v>1.1999999999999999E-3</c:v>
                </c:pt>
                <c:pt idx="325">
                  <c:v>1.1999999999999999E-3</c:v>
                </c:pt>
                <c:pt idx="326">
                  <c:v>1.1999999999999999E-3</c:v>
                </c:pt>
                <c:pt idx="327">
                  <c:v>1.1999999999999999E-3</c:v>
                </c:pt>
                <c:pt idx="328">
                  <c:v>1.1999999999999999E-3</c:v>
                </c:pt>
                <c:pt idx="329">
                  <c:v>1.1999999999999999E-3</c:v>
                </c:pt>
                <c:pt idx="330">
                  <c:v>1.1999999999999999E-3</c:v>
                </c:pt>
                <c:pt idx="331">
                  <c:v>1.1999999999999999E-3</c:v>
                </c:pt>
                <c:pt idx="332">
                  <c:v>1.1999999999999999E-3</c:v>
                </c:pt>
                <c:pt idx="333">
                  <c:v>1.1999999999999999E-3</c:v>
                </c:pt>
                <c:pt idx="334">
                  <c:v>1.1999999999999999E-3</c:v>
                </c:pt>
                <c:pt idx="335">
                  <c:v>1.1999999999999999E-3</c:v>
                </c:pt>
                <c:pt idx="336">
                  <c:v>1.1999999999999999E-3</c:v>
                </c:pt>
                <c:pt idx="337">
                  <c:v>1.1999999999999999E-3</c:v>
                </c:pt>
                <c:pt idx="338">
                  <c:v>1.1999999999999999E-3</c:v>
                </c:pt>
                <c:pt idx="339">
                  <c:v>1.1999999999999999E-3</c:v>
                </c:pt>
                <c:pt idx="340">
                  <c:v>1.1000000000000001E-3</c:v>
                </c:pt>
                <c:pt idx="341">
                  <c:v>1.1000000000000001E-3</c:v>
                </c:pt>
                <c:pt idx="342">
                  <c:v>1.1000000000000001E-3</c:v>
                </c:pt>
                <c:pt idx="343">
                  <c:v>1.1000000000000001E-3</c:v>
                </c:pt>
                <c:pt idx="344">
                  <c:v>1.1000000000000001E-3</c:v>
                </c:pt>
                <c:pt idx="345">
                  <c:v>1.1000000000000001E-3</c:v>
                </c:pt>
                <c:pt idx="346">
                  <c:v>1.1000000000000001E-3</c:v>
                </c:pt>
                <c:pt idx="347">
                  <c:v>1.1000000000000001E-3</c:v>
                </c:pt>
                <c:pt idx="348">
                  <c:v>1.1000000000000001E-3</c:v>
                </c:pt>
                <c:pt idx="349">
                  <c:v>1.1000000000000001E-3</c:v>
                </c:pt>
                <c:pt idx="350">
                  <c:v>1.1000000000000001E-3</c:v>
                </c:pt>
                <c:pt idx="351">
                  <c:v>1.1000000000000001E-3</c:v>
                </c:pt>
                <c:pt idx="352">
                  <c:v>1.1000000000000001E-3</c:v>
                </c:pt>
                <c:pt idx="353">
                  <c:v>1.1000000000000001E-3</c:v>
                </c:pt>
                <c:pt idx="354">
                  <c:v>1.1000000000000001E-3</c:v>
                </c:pt>
                <c:pt idx="355">
                  <c:v>1.1000000000000001E-3</c:v>
                </c:pt>
                <c:pt idx="356">
                  <c:v>1.1000000000000001E-3</c:v>
                </c:pt>
                <c:pt idx="357">
                  <c:v>1.1000000000000001E-3</c:v>
                </c:pt>
                <c:pt idx="358">
                  <c:v>1.1000000000000001E-3</c:v>
                </c:pt>
                <c:pt idx="359">
                  <c:v>1.1000000000000001E-3</c:v>
                </c:pt>
                <c:pt idx="360">
                  <c:v>1.1000000000000001E-3</c:v>
                </c:pt>
                <c:pt idx="361">
                  <c:v>1.1000000000000001E-3</c:v>
                </c:pt>
                <c:pt idx="362">
                  <c:v>1.1000000000000001E-3</c:v>
                </c:pt>
                <c:pt idx="363">
                  <c:v>1.1000000000000001E-3</c:v>
                </c:pt>
                <c:pt idx="364">
                  <c:v>1.1000000000000001E-3</c:v>
                </c:pt>
                <c:pt idx="365">
                  <c:v>1E-3</c:v>
                </c:pt>
                <c:pt idx="366">
                  <c:v>1E-3</c:v>
                </c:pt>
                <c:pt idx="367">
                  <c:v>1E-3</c:v>
                </c:pt>
                <c:pt idx="368">
                  <c:v>1E-3</c:v>
                </c:pt>
                <c:pt idx="369">
                  <c:v>1E-3</c:v>
                </c:pt>
                <c:pt idx="370">
                  <c:v>1E-3</c:v>
                </c:pt>
                <c:pt idx="371">
                  <c:v>1E-3</c:v>
                </c:pt>
                <c:pt idx="372">
                  <c:v>1E-3</c:v>
                </c:pt>
                <c:pt idx="373">
                  <c:v>1E-3</c:v>
                </c:pt>
                <c:pt idx="374">
                  <c:v>1E-3</c:v>
                </c:pt>
                <c:pt idx="375">
                  <c:v>1E-3</c:v>
                </c:pt>
                <c:pt idx="376">
                  <c:v>1E-3</c:v>
                </c:pt>
                <c:pt idx="377">
                  <c:v>1E-3</c:v>
                </c:pt>
                <c:pt idx="378">
                  <c:v>1E-3</c:v>
                </c:pt>
                <c:pt idx="379">
                  <c:v>1E-3</c:v>
                </c:pt>
                <c:pt idx="380">
                  <c:v>1E-3</c:v>
                </c:pt>
                <c:pt idx="381">
                  <c:v>1E-3</c:v>
                </c:pt>
                <c:pt idx="382">
                  <c:v>1E-3</c:v>
                </c:pt>
                <c:pt idx="383">
                  <c:v>1E-3</c:v>
                </c:pt>
                <c:pt idx="384">
                  <c:v>1E-3</c:v>
                </c:pt>
                <c:pt idx="385">
                  <c:v>1E-3</c:v>
                </c:pt>
                <c:pt idx="386">
                  <c:v>1E-3</c:v>
                </c:pt>
                <c:pt idx="387">
                  <c:v>1E-3</c:v>
                </c:pt>
                <c:pt idx="388">
                  <c:v>1E-3</c:v>
                </c:pt>
                <c:pt idx="389">
                  <c:v>1E-3</c:v>
                </c:pt>
                <c:pt idx="390">
                  <c:v>1E-3</c:v>
                </c:pt>
                <c:pt idx="391">
                  <c:v>1E-3</c:v>
                </c:pt>
                <c:pt idx="392">
                  <c:v>1E-3</c:v>
                </c:pt>
                <c:pt idx="393">
                  <c:v>1E-3</c:v>
                </c:pt>
                <c:pt idx="394">
                  <c:v>1E-3</c:v>
                </c:pt>
                <c:pt idx="395">
                  <c:v>1E-3</c:v>
                </c:pt>
                <c:pt idx="396">
                  <c:v>1E-3</c:v>
                </c:pt>
                <c:pt idx="397">
                  <c:v>1E-3</c:v>
                </c:pt>
                <c:pt idx="398">
                  <c:v>1E-3</c:v>
                </c:pt>
                <c:pt idx="399">
                  <c:v>1E-3</c:v>
                </c:pt>
                <c:pt idx="400">
                  <c:v>8.9999999999999998E-4</c:v>
                </c:pt>
                <c:pt idx="401">
                  <c:v>8.9999999999999998E-4</c:v>
                </c:pt>
                <c:pt idx="402">
                  <c:v>8.9999999999999998E-4</c:v>
                </c:pt>
                <c:pt idx="403">
                  <c:v>8.9999999999999998E-4</c:v>
                </c:pt>
                <c:pt idx="404">
                  <c:v>8.9999999999999998E-4</c:v>
                </c:pt>
                <c:pt idx="405">
                  <c:v>8.9999999999999998E-4</c:v>
                </c:pt>
                <c:pt idx="406">
                  <c:v>8.9999999999999998E-4</c:v>
                </c:pt>
                <c:pt idx="407">
                  <c:v>8.9999999999999998E-4</c:v>
                </c:pt>
                <c:pt idx="408">
                  <c:v>8.9999999999999998E-4</c:v>
                </c:pt>
                <c:pt idx="409">
                  <c:v>8.9999999999999998E-4</c:v>
                </c:pt>
                <c:pt idx="410">
                  <c:v>8.9999999999999998E-4</c:v>
                </c:pt>
                <c:pt idx="411">
                  <c:v>8.9999999999999998E-4</c:v>
                </c:pt>
                <c:pt idx="412">
                  <c:v>8.9999999999999998E-4</c:v>
                </c:pt>
                <c:pt idx="413">
                  <c:v>8.9999999999999998E-4</c:v>
                </c:pt>
                <c:pt idx="414">
                  <c:v>8.9999999999999998E-4</c:v>
                </c:pt>
                <c:pt idx="415">
                  <c:v>8.9999999999999998E-4</c:v>
                </c:pt>
                <c:pt idx="416">
                  <c:v>8.9999999999999998E-4</c:v>
                </c:pt>
                <c:pt idx="417">
                  <c:v>8.9999999999999998E-4</c:v>
                </c:pt>
                <c:pt idx="418">
                  <c:v>8.9999999999999998E-4</c:v>
                </c:pt>
                <c:pt idx="419">
                  <c:v>8.9999999999999998E-4</c:v>
                </c:pt>
                <c:pt idx="420">
                  <c:v>8.9999999999999998E-4</c:v>
                </c:pt>
                <c:pt idx="421">
                  <c:v>8.9999999999999998E-4</c:v>
                </c:pt>
                <c:pt idx="422">
                  <c:v>8.9999999999999998E-4</c:v>
                </c:pt>
                <c:pt idx="423">
                  <c:v>8.9999999999999998E-4</c:v>
                </c:pt>
                <c:pt idx="424">
                  <c:v>8.9999999999999998E-4</c:v>
                </c:pt>
                <c:pt idx="425">
                  <c:v>8.9999999999999998E-4</c:v>
                </c:pt>
                <c:pt idx="426">
                  <c:v>8.9999999999999998E-4</c:v>
                </c:pt>
                <c:pt idx="427">
                  <c:v>8.9999999999999998E-4</c:v>
                </c:pt>
                <c:pt idx="428">
                  <c:v>8.9999999999999998E-4</c:v>
                </c:pt>
                <c:pt idx="429">
                  <c:v>8.9999999999999998E-4</c:v>
                </c:pt>
                <c:pt idx="430">
                  <c:v>8.9999999999999998E-4</c:v>
                </c:pt>
                <c:pt idx="431">
                  <c:v>8.9999999999999998E-4</c:v>
                </c:pt>
                <c:pt idx="432">
                  <c:v>8.9999999999999998E-4</c:v>
                </c:pt>
                <c:pt idx="433">
                  <c:v>8.9999999999999998E-4</c:v>
                </c:pt>
                <c:pt idx="434">
                  <c:v>8.9999999999999998E-4</c:v>
                </c:pt>
                <c:pt idx="435">
                  <c:v>8.9999999999999998E-4</c:v>
                </c:pt>
                <c:pt idx="436">
                  <c:v>8.9999999999999998E-4</c:v>
                </c:pt>
                <c:pt idx="437">
                  <c:v>8.9999999999999998E-4</c:v>
                </c:pt>
                <c:pt idx="438">
                  <c:v>8.9999999999999998E-4</c:v>
                </c:pt>
                <c:pt idx="439">
                  <c:v>8.9999999999999998E-4</c:v>
                </c:pt>
                <c:pt idx="440">
                  <c:v>8.9999999999999998E-4</c:v>
                </c:pt>
                <c:pt idx="441">
                  <c:v>8.9999999999999998E-4</c:v>
                </c:pt>
                <c:pt idx="442">
                  <c:v>8.9999999999999998E-4</c:v>
                </c:pt>
                <c:pt idx="443">
                  <c:v>8.9999999999999998E-4</c:v>
                </c:pt>
                <c:pt idx="444">
                  <c:v>8.9999999999999998E-4</c:v>
                </c:pt>
                <c:pt idx="445">
                  <c:v>8.9999999999999998E-4</c:v>
                </c:pt>
                <c:pt idx="446">
                  <c:v>8.9999999999999998E-4</c:v>
                </c:pt>
                <c:pt idx="447">
                  <c:v>8.9999999999999998E-4</c:v>
                </c:pt>
                <c:pt idx="448">
                  <c:v>8.0000000000000004E-4</c:v>
                </c:pt>
                <c:pt idx="449">
                  <c:v>8.0000000000000004E-4</c:v>
                </c:pt>
                <c:pt idx="450">
                  <c:v>8.0000000000000004E-4</c:v>
                </c:pt>
                <c:pt idx="451">
                  <c:v>8.0000000000000004E-4</c:v>
                </c:pt>
                <c:pt idx="452">
                  <c:v>8.0000000000000004E-4</c:v>
                </c:pt>
                <c:pt idx="453">
                  <c:v>8.0000000000000004E-4</c:v>
                </c:pt>
                <c:pt idx="454">
                  <c:v>8.0000000000000004E-4</c:v>
                </c:pt>
                <c:pt idx="455">
                  <c:v>8.0000000000000004E-4</c:v>
                </c:pt>
                <c:pt idx="456">
                  <c:v>8.0000000000000004E-4</c:v>
                </c:pt>
                <c:pt idx="457">
                  <c:v>8.0000000000000004E-4</c:v>
                </c:pt>
                <c:pt idx="458">
                  <c:v>8.0000000000000004E-4</c:v>
                </c:pt>
                <c:pt idx="459">
                  <c:v>8.0000000000000004E-4</c:v>
                </c:pt>
                <c:pt idx="460">
                  <c:v>8.0000000000000004E-4</c:v>
                </c:pt>
                <c:pt idx="461">
                  <c:v>8.0000000000000004E-4</c:v>
                </c:pt>
                <c:pt idx="462">
                  <c:v>8.0000000000000004E-4</c:v>
                </c:pt>
                <c:pt idx="463">
                  <c:v>8.0000000000000004E-4</c:v>
                </c:pt>
                <c:pt idx="464">
                  <c:v>8.0000000000000004E-4</c:v>
                </c:pt>
                <c:pt idx="465">
                  <c:v>8.0000000000000004E-4</c:v>
                </c:pt>
                <c:pt idx="466">
                  <c:v>8.0000000000000004E-4</c:v>
                </c:pt>
                <c:pt idx="467">
                  <c:v>8.0000000000000004E-4</c:v>
                </c:pt>
                <c:pt idx="468">
                  <c:v>8.0000000000000004E-4</c:v>
                </c:pt>
                <c:pt idx="469">
                  <c:v>8.0000000000000004E-4</c:v>
                </c:pt>
                <c:pt idx="470">
                  <c:v>8.0000000000000004E-4</c:v>
                </c:pt>
                <c:pt idx="471">
                  <c:v>8.0000000000000004E-4</c:v>
                </c:pt>
                <c:pt idx="472">
                  <c:v>8.0000000000000004E-4</c:v>
                </c:pt>
                <c:pt idx="473">
                  <c:v>8.0000000000000004E-4</c:v>
                </c:pt>
                <c:pt idx="474">
                  <c:v>8.0000000000000004E-4</c:v>
                </c:pt>
                <c:pt idx="475">
                  <c:v>8.0000000000000004E-4</c:v>
                </c:pt>
                <c:pt idx="476">
                  <c:v>8.0000000000000004E-4</c:v>
                </c:pt>
                <c:pt idx="477">
                  <c:v>8.0000000000000004E-4</c:v>
                </c:pt>
                <c:pt idx="478">
                  <c:v>8.0000000000000004E-4</c:v>
                </c:pt>
                <c:pt idx="479">
                  <c:v>8.0000000000000004E-4</c:v>
                </c:pt>
                <c:pt idx="480">
                  <c:v>8.0000000000000004E-4</c:v>
                </c:pt>
                <c:pt idx="481">
                  <c:v>8.0000000000000004E-4</c:v>
                </c:pt>
                <c:pt idx="482">
                  <c:v>8.0000000000000004E-4</c:v>
                </c:pt>
                <c:pt idx="483">
                  <c:v>8.0000000000000004E-4</c:v>
                </c:pt>
                <c:pt idx="484">
                  <c:v>8.0000000000000004E-4</c:v>
                </c:pt>
                <c:pt idx="485">
                  <c:v>8.0000000000000004E-4</c:v>
                </c:pt>
                <c:pt idx="486">
                  <c:v>8.0000000000000004E-4</c:v>
                </c:pt>
                <c:pt idx="487">
                  <c:v>8.0000000000000004E-4</c:v>
                </c:pt>
                <c:pt idx="488">
                  <c:v>8.0000000000000004E-4</c:v>
                </c:pt>
                <c:pt idx="489">
                  <c:v>8.0000000000000004E-4</c:v>
                </c:pt>
                <c:pt idx="490">
                  <c:v>8.0000000000000004E-4</c:v>
                </c:pt>
                <c:pt idx="491">
                  <c:v>8.0000000000000004E-4</c:v>
                </c:pt>
                <c:pt idx="492">
                  <c:v>8.0000000000000004E-4</c:v>
                </c:pt>
                <c:pt idx="493">
                  <c:v>8.0000000000000004E-4</c:v>
                </c:pt>
                <c:pt idx="494">
                  <c:v>8.0000000000000004E-4</c:v>
                </c:pt>
                <c:pt idx="495">
                  <c:v>8.0000000000000004E-4</c:v>
                </c:pt>
                <c:pt idx="496">
                  <c:v>8.0000000000000004E-4</c:v>
                </c:pt>
                <c:pt idx="497">
                  <c:v>8.0000000000000004E-4</c:v>
                </c:pt>
                <c:pt idx="498">
                  <c:v>8.0000000000000004E-4</c:v>
                </c:pt>
                <c:pt idx="499">
                  <c:v>8.0000000000000004E-4</c:v>
                </c:pt>
                <c:pt idx="500">
                  <c:v>8.0000000000000004E-4</c:v>
                </c:pt>
                <c:pt idx="501">
                  <c:v>8.0000000000000004E-4</c:v>
                </c:pt>
                <c:pt idx="502">
                  <c:v>8.0000000000000004E-4</c:v>
                </c:pt>
                <c:pt idx="503">
                  <c:v>8.0000000000000004E-4</c:v>
                </c:pt>
                <c:pt idx="504">
                  <c:v>8.0000000000000004E-4</c:v>
                </c:pt>
                <c:pt idx="505">
                  <c:v>8.0000000000000004E-4</c:v>
                </c:pt>
                <c:pt idx="506">
                  <c:v>8.0000000000000004E-4</c:v>
                </c:pt>
                <c:pt idx="507">
                  <c:v>8.0000000000000004E-4</c:v>
                </c:pt>
                <c:pt idx="508">
                  <c:v>8.0000000000000004E-4</c:v>
                </c:pt>
                <c:pt idx="509">
                  <c:v>8.0000000000000004E-4</c:v>
                </c:pt>
                <c:pt idx="510">
                  <c:v>8.0000000000000004E-4</c:v>
                </c:pt>
                <c:pt idx="511">
                  <c:v>8.0000000000000004E-4</c:v>
                </c:pt>
                <c:pt idx="512">
                  <c:v>8.0000000000000004E-4</c:v>
                </c:pt>
                <c:pt idx="513">
                  <c:v>8.0000000000000004E-4</c:v>
                </c:pt>
                <c:pt idx="514">
                  <c:v>8.0000000000000004E-4</c:v>
                </c:pt>
                <c:pt idx="515">
                  <c:v>8.0000000000000004E-4</c:v>
                </c:pt>
                <c:pt idx="516">
                  <c:v>8.0000000000000004E-4</c:v>
                </c:pt>
                <c:pt idx="517">
                  <c:v>8.0000000000000004E-4</c:v>
                </c:pt>
                <c:pt idx="518">
                  <c:v>8.0000000000000004E-4</c:v>
                </c:pt>
                <c:pt idx="519">
                  <c:v>8.0000000000000004E-4</c:v>
                </c:pt>
                <c:pt idx="520">
                  <c:v>8.0000000000000004E-4</c:v>
                </c:pt>
                <c:pt idx="521">
                  <c:v>8.0000000000000004E-4</c:v>
                </c:pt>
                <c:pt idx="522">
                  <c:v>8.0000000000000004E-4</c:v>
                </c:pt>
                <c:pt idx="523">
                  <c:v>8.0000000000000004E-4</c:v>
                </c:pt>
                <c:pt idx="524">
                  <c:v>8.0000000000000004E-4</c:v>
                </c:pt>
                <c:pt idx="525">
                  <c:v>8.0000000000000004E-4</c:v>
                </c:pt>
                <c:pt idx="526">
                  <c:v>8.0000000000000004E-4</c:v>
                </c:pt>
                <c:pt idx="527">
                  <c:v>8.0000000000000004E-4</c:v>
                </c:pt>
                <c:pt idx="528">
                  <c:v>8.0000000000000004E-4</c:v>
                </c:pt>
                <c:pt idx="529">
                  <c:v>8.0000000000000004E-4</c:v>
                </c:pt>
                <c:pt idx="530">
                  <c:v>8.0000000000000004E-4</c:v>
                </c:pt>
                <c:pt idx="531">
                  <c:v>8.0000000000000004E-4</c:v>
                </c:pt>
                <c:pt idx="532">
                  <c:v>8.0000000000000004E-4</c:v>
                </c:pt>
                <c:pt idx="533">
                  <c:v>8.0000000000000004E-4</c:v>
                </c:pt>
                <c:pt idx="534">
                  <c:v>8.0000000000000004E-4</c:v>
                </c:pt>
                <c:pt idx="535">
                  <c:v>8.0000000000000004E-4</c:v>
                </c:pt>
                <c:pt idx="536">
                  <c:v>8.0000000000000004E-4</c:v>
                </c:pt>
                <c:pt idx="537">
                  <c:v>8.0000000000000004E-4</c:v>
                </c:pt>
                <c:pt idx="538">
                  <c:v>8.0000000000000004E-4</c:v>
                </c:pt>
                <c:pt idx="539">
                  <c:v>8.0000000000000004E-4</c:v>
                </c:pt>
                <c:pt idx="540">
                  <c:v>8.0000000000000004E-4</c:v>
                </c:pt>
                <c:pt idx="541">
                  <c:v>8.0000000000000004E-4</c:v>
                </c:pt>
                <c:pt idx="542">
                  <c:v>8.0000000000000004E-4</c:v>
                </c:pt>
                <c:pt idx="543">
                  <c:v>8.0000000000000004E-4</c:v>
                </c:pt>
                <c:pt idx="544">
                  <c:v>8.0000000000000004E-4</c:v>
                </c:pt>
                <c:pt idx="545">
                  <c:v>8.0000000000000004E-4</c:v>
                </c:pt>
                <c:pt idx="546">
                  <c:v>8.0000000000000004E-4</c:v>
                </c:pt>
                <c:pt idx="547">
                  <c:v>8.0000000000000004E-4</c:v>
                </c:pt>
                <c:pt idx="548">
                  <c:v>8.0000000000000004E-4</c:v>
                </c:pt>
                <c:pt idx="549">
                  <c:v>8.0000000000000004E-4</c:v>
                </c:pt>
                <c:pt idx="550">
                  <c:v>8.0000000000000004E-4</c:v>
                </c:pt>
                <c:pt idx="551">
                  <c:v>8.0000000000000004E-4</c:v>
                </c:pt>
                <c:pt idx="552">
                  <c:v>8.0000000000000004E-4</c:v>
                </c:pt>
                <c:pt idx="553">
                  <c:v>8.0000000000000004E-4</c:v>
                </c:pt>
                <c:pt idx="554">
                  <c:v>8.0000000000000004E-4</c:v>
                </c:pt>
                <c:pt idx="555">
                  <c:v>8.0000000000000004E-4</c:v>
                </c:pt>
                <c:pt idx="556">
                  <c:v>8.0000000000000004E-4</c:v>
                </c:pt>
                <c:pt idx="557">
                  <c:v>8.0000000000000004E-4</c:v>
                </c:pt>
                <c:pt idx="558">
                  <c:v>8.0000000000000004E-4</c:v>
                </c:pt>
                <c:pt idx="559">
                  <c:v>8.0000000000000004E-4</c:v>
                </c:pt>
                <c:pt idx="560">
                  <c:v>8.0000000000000004E-4</c:v>
                </c:pt>
                <c:pt idx="561">
                  <c:v>8.0000000000000004E-4</c:v>
                </c:pt>
                <c:pt idx="562">
                  <c:v>8.0000000000000004E-4</c:v>
                </c:pt>
                <c:pt idx="563">
                  <c:v>8.0000000000000004E-4</c:v>
                </c:pt>
                <c:pt idx="564">
                  <c:v>8.0000000000000004E-4</c:v>
                </c:pt>
                <c:pt idx="565">
                  <c:v>8.0000000000000004E-4</c:v>
                </c:pt>
                <c:pt idx="566">
                  <c:v>8.0000000000000004E-4</c:v>
                </c:pt>
                <c:pt idx="567">
                  <c:v>8.0000000000000004E-4</c:v>
                </c:pt>
                <c:pt idx="568">
                  <c:v>8.0000000000000004E-4</c:v>
                </c:pt>
                <c:pt idx="569">
                  <c:v>8.0000000000000004E-4</c:v>
                </c:pt>
                <c:pt idx="570">
                  <c:v>8.0000000000000004E-4</c:v>
                </c:pt>
                <c:pt idx="571">
                  <c:v>8.0000000000000004E-4</c:v>
                </c:pt>
                <c:pt idx="572">
                  <c:v>8.0000000000000004E-4</c:v>
                </c:pt>
                <c:pt idx="573">
                  <c:v>8.0000000000000004E-4</c:v>
                </c:pt>
                <c:pt idx="574">
                  <c:v>8.0000000000000004E-4</c:v>
                </c:pt>
                <c:pt idx="575">
                  <c:v>8.0000000000000004E-4</c:v>
                </c:pt>
                <c:pt idx="576">
                  <c:v>8.0000000000000004E-4</c:v>
                </c:pt>
                <c:pt idx="577">
                  <c:v>8.0000000000000004E-4</c:v>
                </c:pt>
                <c:pt idx="578">
                  <c:v>8.0000000000000004E-4</c:v>
                </c:pt>
                <c:pt idx="579">
                  <c:v>8.0000000000000004E-4</c:v>
                </c:pt>
                <c:pt idx="580">
                  <c:v>8.0000000000000004E-4</c:v>
                </c:pt>
                <c:pt idx="581">
                  <c:v>8.0000000000000004E-4</c:v>
                </c:pt>
                <c:pt idx="582">
                  <c:v>8.0000000000000004E-4</c:v>
                </c:pt>
                <c:pt idx="583">
                  <c:v>8.0000000000000004E-4</c:v>
                </c:pt>
                <c:pt idx="584">
                  <c:v>8.0000000000000004E-4</c:v>
                </c:pt>
                <c:pt idx="585">
                  <c:v>8.0000000000000004E-4</c:v>
                </c:pt>
                <c:pt idx="586">
                  <c:v>8.0000000000000004E-4</c:v>
                </c:pt>
                <c:pt idx="587">
                  <c:v>8.0000000000000004E-4</c:v>
                </c:pt>
                <c:pt idx="588">
                  <c:v>8.0000000000000004E-4</c:v>
                </c:pt>
                <c:pt idx="589">
                  <c:v>8.0000000000000004E-4</c:v>
                </c:pt>
                <c:pt idx="590">
                  <c:v>8.0000000000000004E-4</c:v>
                </c:pt>
                <c:pt idx="591">
                  <c:v>8.0000000000000004E-4</c:v>
                </c:pt>
                <c:pt idx="592">
                  <c:v>8.0000000000000004E-4</c:v>
                </c:pt>
                <c:pt idx="593">
                  <c:v>8.0000000000000004E-4</c:v>
                </c:pt>
                <c:pt idx="594">
                  <c:v>8.0000000000000004E-4</c:v>
                </c:pt>
                <c:pt idx="595">
                  <c:v>8.0000000000000004E-4</c:v>
                </c:pt>
                <c:pt idx="596">
                  <c:v>8.0000000000000004E-4</c:v>
                </c:pt>
                <c:pt idx="597">
                  <c:v>8.0000000000000004E-4</c:v>
                </c:pt>
                <c:pt idx="598">
                  <c:v>8.0000000000000004E-4</c:v>
                </c:pt>
                <c:pt idx="599">
                  <c:v>8.0000000000000004E-4</c:v>
                </c:pt>
                <c:pt idx="600">
                  <c:v>8.0000000000000004E-4</c:v>
                </c:pt>
                <c:pt idx="601">
                  <c:v>8.0000000000000004E-4</c:v>
                </c:pt>
                <c:pt idx="602">
                  <c:v>8.0000000000000004E-4</c:v>
                </c:pt>
                <c:pt idx="603">
                  <c:v>8.0000000000000004E-4</c:v>
                </c:pt>
                <c:pt idx="604">
                  <c:v>8.9999999999999998E-4</c:v>
                </c:pt>
                <c:pt idx="605">
                  <c:v>8.9999999999999998E-4</c:v>
                </c:pt>
                <c:pt idx="606">
                  <c:v>8.9999999999999998E-4</c:v>
                </c:pt>
                <c:pt idx="607">
                  <c:v>8.9999999999999998E-4</c:v>
                </c:pt>
                <c:pt idx="608">
                  <c:v>8.9999999999999998E-4</c:v>
                </c:pt>
                <c:pt idx="609">
                  <c:v>8.9999999999999998E-4</c:v>
                </c:pt>
                <c:pt idx="610">
                  <c:v>8.9999999999999998E-4</c:v>
                </c:pt>
                <c:pt idx="611">
                  <c:v>8.9999999999999998E-4</c:v>
                </c:pt>
                <c:pt idx="612">
                  <c:v>8.9999999999999998E-4</c:v>
                </c:pt>
                <c:pt idx="613">
                  <c:v>8.9999999999999998E-4</c:v>
                </c:pt>
                <c:pt idx="614">
                  <c:v>8.9999999999999998E-4</c:v>
                </c:pt>
                <c:pt idx="615">
                  <c:v>8.9999999999999998E-4</c:v>
                </c:pt>
                <c:pt idx="616">
                  <c:v>8.9999999999999998E-4</c:v>
                </c:pt>
                <c:pt idx="617">
                  <c:v>8.9999999999999998E-4</c:v>
                </c:pt>
                <c:pt idx="618">
                  <c:v>8.9999999999999998E-4</c:v>
                </c:pt>
                <c:pt idx="619">
                  <c:v>8.9999999999999998E-4</c:v>
                </c:pt>
                <c:pt idx="620">
                  <c:v>8.9999999999999998E-4</c:v>
                </c:pt>
                <c:pt idx="621">
                  <c:v>8.9999999999999998E-4</c:v>
                </c:pt>
                <c:pt idx="622">
                  <c:v>8.9999999999999998E-4</c:v>
                </c:pt>
                <c:pt idx="623">
                  <c:v>8.9999999999999998E-4</c:v>
                </c:pt>
                <c:pt idx="624">
                  <c:v>8.9999999999999998E-4</c:v>
                </c:pt>
                <c:pt idx="625">
                  <c:v>8.9999999999999998E-4</c:v>
                </c:pt>
                <c:pt idx="626">
                  <c:v>8.9999999999999998E-4</c:v>
                </c:pt>
                <c:pt idx="627">
                  <c:v>8.9999999999999998E-4</c:v>
                </c:pt>
                <c:pt idx="628">
                  <c:v>8.9999999999999998E-4</c:v>
                </c:pt>
                <c:pt idx="629">
                  <c:v>8.9999999999999998E-4</c:v>
                </c:pt>
                <c:pt idx="630">
                  <c:v>8.9999999999999998E-4</c:v>
                </c:pt>
                <c:pt idx="631">
                  <c:v>8.9999999999999998E-4</c:v>
                </c:pt>
                <c:pt idx="632">
                  <c:v>8.9999999999999998E-4</c:v>
                </c:pt>
                <c:pt idx="633">
                  <c:v>1E-3</c:v>
                </c:pt>
                <c:pt idx="634">
                  <c:v>1E-3</c:v>
                </c:pt>
                <c:pt idx="635">
                  <c:v>1E-3</c:v>
                </c:pt>
                <c:pt idx="636">
                  <c:v>8.9999999999999998E-4</c:v>
                </c:pt>
                <c:pt idx="637">
                  <c:v>8.9999999999999998E-4</c:v>
                </c:pt>
                <c:pt idx="638">
                  <c:v>8.9999999999999998E-4</c:v>
                </c:pt>
                <c:pt idx="639">
                  <c:v>8.9999999999999998E-4</c:v>
                </c:pt>
                <c:pt idx="640">
                  <c:v>8.9999999999999998E-4</c:v>
                </c:pt>
                <c:pt idx="641">
                  <c:v>8.9999999999999998E-4</c:v>
                </c:pt>
                <c:pt idx="642">
                  <c:v>8.9999999999999998E-4</c:v>
                </c:pt>
                <c:pt idx="643">
                  <c:v>8.9999999999999998E-4</c:v>
                </c:pt>
                <c:pt idx="644">
                  <c:v>1E-3</c:v>
                </c:pt>
                <c:pt idx="645">
                  <c:v>1E-3</c:v>
                </c:pt>
                <c:pt idx="646">
                  <c:v>1E-3</c:v>
                </c:pt>
                <c:pt idx="647">
                  <c:v>1E-3</c:v>
                </c:pt>
                <c:pt idx="648">
                  <c:v>1E-3</c:v>
                </c:pt>
                <c:pt idx="649">
                  <c:v>1E-3</c:v>
                </c:pt>
                <c:pt idx="650">
                  <c:v>1E-3</c:v>
                </c:pt>
                <c:pt idx="651">
                  <c:v>1E-3</c:v>
                </c:pt>
                <c:pt idx="652">
                  <c:v>1E-3</c:v>
                </c:pt>
                <c:pt idx="653">
                  <c:v>1E-3</c:v>
                </c:pt>
                <c:pt idx="654">
                  <c:v>1E-3</c:v>
                </c:pt>
                <c:pt idx="655">
                  <c:v>1.1000000000000001E-3</c:v>
                </c:pt>
                <c:pt idx="656">
                  <c:v>1.1000000000000001E-3</c:v>
                </c:pt>
                <c:pt idx="657">
                  <c:v>1.1000000000000001E-3</c:v>
                </c:pt>
                <c:pt idx="658">
                  <c:v>1.1000000000000001E-3</c:v>
                </c:pt>
                <c:pt idx="659">
                  <c:v>1.1000000000000001E-3</c:v>
                </c:pt>
                <c:pt idx="660">
                  <c:v>1.1000000000000001E-3</c:v>
                </c:pt>
                <c:pt idx="661">
                  <c:v>1.1000000000000001E-3</c:v>
                </c:pt>
                <c:pt idx="662">
                  <c:v>1.1000000000000001E-3</c:v>
                </c:pt>
                <c:pt idx="663">
                  <c:v>1.1000000000000001E-3</c:v>
                </c:pt>
                <c:pt idx="664">
                  <c:v>1.1000000000000001E-3</c:v>
                </c:pt>
                <c:pt idx="665">
                  <c:v>1.1000000000000001E-3</c:v>
                </c:pt>
                <c:pt idx="666">
                  <c:v>1.1999999999999999E-3</c:v>
                </c:pt>
                <c:pt idx="667">
                  <c:v>1.1999999999999999E-3</c:v>
                </c:pt>
                <c:pt idx="668">
                  <c:v>1.1999999999999999E-3</c:v>
                </c:pt>
                <c:pt idx="669">
                  <c:v>1.1999999999999999E-3</c:v>
                </c:pt>
                <c:pt idx="670">
                  <c:v>1.1999999999999999E-3</c:v>
                </c:pt>
                <c:pt idx="671">
                  <c:v>1.1999999999999999E-3</c:v>
                </c:pt>
                <c:pt idx="672">
                  <c:v>1.1999999999999999E-3</c:v>
                </c:pt>
                <c:pt idx="673">
                  <c:v>1.1999999999999999E-3</c:v>
                </c:pt>
                <c:pt idx="674">
                  <c:v>1.1999999999999999E-3</c:v>
                </c:pt>
                <c:pt idx="675">
                  <c:v>1.2999999999999999E-3</c:v>
                </c:pt>
                <c:pt idx="676">
                  <c:v>1.2999999999999999E-3</c:v>
                </c:pt>
                <c:pt idx="677">
                  <c:v>1.2999999999999999E-3</c:v>
                </c:pt>
                <c:pt idx="678">
                  <c:v>1.2999999999999999E-3</c:v>
                </c:pt>
                <c:pt idx="679">
                  <c:v>1.2999999999999999E-3</c:v>
                </c:pt>
                <c:pt idx="680">
                  <c:v>1.2999999999999999E-3</c:v>
                </c:pt>
                <c:pt idx="681">
                  <c:v>1.2999999999999999E-3</c:v>
                </c:pt>
                <c:pt idx="682">
                  <c:v>1.2999999999999999E-3</c:v>
                </c:pt>
                <c:pt idx="683">
                  <c:v>1.4E-3</c:v>
                </c:pt>
                <c:pt idx="684">
                  <c:v>1.4E-3</c:v>
                </c:pt>
                <c:pt idx="685">
                  <c:v>1.4E-3</c:v>
                </c:pt>
                <c:pt idx="686">
                  <c:v>1.5E-3</c:v>
                </c:pt>
                <c:pt idx="687">
                  <c:v>1.5E-3</c:v>
                </c:pt>
                <c:pt idx="688">
                  <c:v>1.5E-3</c:v>
                </c:pt>
                <c:pt idx="689">
                  <c:v>1.6000000000000001E-3</c:v>
                </c:pt>
                <c:pt idx="690">
                  <c:v>1.6000000000000001E-3</c:v>
                </c:pt>
                <c:pt idx="691">
                  <c:v>1.6000000000000001E-3</c:v>
                </c:pt>
                <c:pt idx="692">
                  <c:v>1.6999999999999999E-3</c:v>
                </c:pt>
                <c:pt idx="693">
                  <c:v>1.6999999999999999E-3</c:v>
                </c:pt>
                <c:pt idx="694">
                  <c:v>1.6999999999999999E-3</c:v>
                </c:pt>
                <c:pt idx="695">
                  <c:v>1.6999999999999999E-3</c:v>
                </c:pt>
                <c:pt idx="696">
                  <c:v>1.6999999999999999E-3</c:v>
                </c:pt>
                <c:pt idx="697">
                  <c:v>1.6999999999999999E-3</c:v>
                </c:pt>
                <c:pt idx="698">
                  <c:v>1.8E-3</c:v>
                </c:pt>
                <c:pt idx="699">
                  <c:v>1.8E-3</c:v>
                </c:pt>
                <c:pt idx="700">
                  <c:v>1.9E-3</c:v>
                </c:pt>
                <c:pt idx="701">
                  <c:v>1.9E-3</c:v>
                </c:pt>
                <c:pt idx="702">
                  <c:v>1.9E-3</c:v>
                </c:pt>
                <c:pt idx="703">
                  <c:v>1.9E-3</c:v>
                </c:pt>
                <c:pt idx="704">
                  <c:v>2E-3</c:v>
                </c:pt>
                <c:pt idx="705">
                  <c:v>2E-3</c:v>
                </c:pt>
                <c:pt idx="706">
                  <c:v>2.0999999999999999E-3</c:v>
                </c:pt>
                <c:pt idx="707">
                  <c:v>2.0999999999999999E-3</c:v>
                </c:pt>
                <c:pt idx="708">
                  <c:v>2.2000000000000001E-3</c:v>
                </c:pt>
                <c:pt idx="709">
                  <c:v>2.2000000000000001E-3</c:v>
                </c:pt>
                <c:pt idx="710">
                  <c:v>2.3E-3</c:v>
                </c:pt>
                <c:pt idx="711">
                  <c:v>2.2000000000000001E-3</c:v>
                </c:pt>
                <c:pt idx="712">
                  <c:v>2.3E-3</c:v>
                </c:pt>
                <c:pt idx="713">
                  <c:v>2.3E-3</c:v>
                </c:pt>
                <c:pt idx="714">
                  <c:v>2.3999999999999998E-3</c:v>
                </c:pt>
                <c:pt idx="715">
                  <c:v>2.3999999999999998E-3</c:v>
                </c:pt>
                <c:pt idx="716">
                  <c:v>2.5000000000000001E-3</c:v>
                </c:pt>
                <c:pt idx="717">
                  <c:v>2.5000000000000001E-3</c:v>
                </c:pt>
                <c:pt idx="718">
                  <c:v>2.5000000000000001E-3</c:v>
                </c:pt>
                <c:pt idx="719">
                  <c:v>2.5000000000000001E-3</c:v>
                </c:pt>
                <c:pt idx="720">
                  <c:v>2.5999999999999999E-3</c:v>
                </c:pt>
                <c:pt idx="721">
                  <c:v>2.7000000000000001E-3</c:v>
                </c:pt>
                <c:pt idx="722">
                  <c:v>2.5999999999999999E-3</c:v>
                </c:pt>
                <c:pt idx="723">
                  <c:v>2.7000000000000001E-3</c:v>
                </c:pt>
                <c:pt idx="724">
                  <c:v>2.7000000000000001E-3</c:v>
                </c:pt>
                <c:pt idx="725">
                  <c:v>2.8E-3</c:v>
                </c:pt>
                <c:pt idx="726">
                  <c:v>2.7000000000000001E-3</c:v>
                </c:pt>
                <c:pt idx="727">
                  <c:v>2.8E-3</c:v>
                </c:pt>
                <c:pt idx="728">
                  <c:v>2.8E-3</c:v>
                </c:pt>
                <c:pt idx="729">
                  <c:v>2.8999999999999998E-3</c:v>
                </c:pt>
                <c:pt idx="730">
                  <c:v>2.8999999999999998E-3</c:v>
                </c:pt>
                <c:pt idx="731">
                  <c:v>2.8999999999999998E-3</c:v>
                </c:pt>
                <c:pt idx="732">
                  <c:v>3.0000000000000001E-3</c:v>
                </c:pt>
                <c:pt idx="733">
                  <c:v>3.0999999999999999E-3</c:v>
                </c:pt>
                <c:pt idx="734">
                  <c:v>3.0999999999999999E-3</c:v>
                </c:pt>
                <c:pt idx="735">
                  <c:v>3.0999999999999999E-3</c:v>
                </c:pt>
                <c:pt idx="736">
                  <c:v>3.0999999999999999E-3</c:v>
                </c:pt>
                <c:pt idx="737">
                  <c:v>3.2000000000000002E-3</c:v>
                </c:pt>
                <c:pt idx="738">
                  <c:v>3.3E-3</c:v>
                </c:pt>
                <c:pt idx="739">
                  <c:v>3.2000000000000002E-3</c:v>
                </c:pt>
                <c:pt idx="740">
                  <c:v>3.3E-3</c:v>
                </c:pt>
                <c:pt idx="741">
                  <c:v>3.3999999999999998E-3</c:v>
                </c:pt>
                <c:pt idx="742">
                  <c:v>3.3999999999999998E-3</c:v>
                </c:pt>
                <c:pt idx="743">
                  <c:v>3.3999999999999998E-3</c:v>
                </c:pt>
                <c:pt idx="744">
                  <c:v>3.5000000000000001E-3</c:v>
                </c:pt>
                <c:pt idx="745">
                  <c:v>3.5000000000000001E-3</c:v>
                </c:pt>
                <c:pt idx="746">
                  <c:v>3.5999999999999999E-3</c:v>
                </c:pt>
                <c:pt idx="747">
                  <c:v>3.5999999999999999E-3</c:v>
                </c:pt>
                <c:pt idx="748">
                  <c:v>3.7000000000000002E-3</c:v>
                </c:pt>
                <c:pt idx="749">
                  <c:v>3.7000000000000002E-3</c:v>
                </c:pt>
                <c:pt idx="750">
                  <c:v>3.7000000000000002E-3</c:v>
                </c:pt>
                <c:pt idx="751">
                  <c:v>3.8E-3</c:v>
                </c:pt>
                <c:pt idx="752">
                  <c:v>3.8999999999999998E-3</c:v>
                </c:pt>
                <c:pt idx="753">
                  <c:v>3.8999999999999998E-3</c:v>
                </c:pt>
                <c:pt idx="754">
                  <c:v>3.8999999999999998E-3</c:v>
                </c:pt>
                <c:pt idx="755">
                  <c:v>4.0000000000000001E-3</c:v>
                </c:pt>
                <c:pt idx="756">
                  <c:v>4.1000000000000003E-3</c:v>
                </c:pt>
                <c:pt idx="757">
                  <c:v>4.0000000000000001E-3</c:v>
                </c:pt>
                <c:pt idx="758">
                  <c:v>4.1000000000000003E-3</c:v>
                </c:pt>
                <c:pt idx="759">
                  <c:v>4.1999999999999997E-3</c:v>
                </c:pt>
                <c:pt idx="760">
                  <c:v>4.1999999999999997E-3</c:v>
                </c:pt>
                <c:pt idx="761">
                  <c:v>4.3E-3</c:v>
                </c:pt>
                <c:pt idx="762">
                  <c:v>4.3E-3</c:v>
                </c:pt>
                <c:pt idx="763">
                  <c:v>4.3E-3</c:v>
                </c:pt>
                <c:pt idx="764">
                  <c:v>4.4000000000000003E-3</c:v>
                </c:pt>
                <c:pt idx="765">
                  <c:v>4.4000000000000003E-3</c:v>
                </c:pt>
                <c:pt idx="766">
                  <c:v>4.4999999999999997E-3</c:v>
                </c:pt>
                <c:pt idx="767">
                  <c:v>4.4999999999999997E-3</c:v>
                </c:pt>
                <c:pt idx="768">
                  <c:v>4.5999999999999999E-3</c:v>
                </c:pt>
                <c:pt idx="769">
                  <c:v>4.7000000000000002E-3</c:v>
                </c:pt>
                <c:pt idx="770">
                  <c:v>4.7000000000000002E-3</c:v>
                </c:pt>
                <c:pt idx="771">
                  <c:v>4.7999999999999996E-3</c:v>
                </c:pt>
                <c:pt idx="772">
                  <c:v>4.7999999999999996E-3</c:v>
                </c:pt>
                <c:pt idx="773">
                  <c:v>4.8999999999999998E-3</c:v>
                </c:pt>
                <c:pt idx="774">
                  <c:v>4.8999999999999998E-3</c:v>
                </c:pt>
                <c:pt idx="775">
                  <c:v>5.0000000000000001E-3</c:v>
                </c:pt>
                <c:pt idx="776">
                  <c:v>5.0000000000000001E-3</c:v>
                </c:pt>
                <c:pt idx="777">
                  <c:v>5.1000000000000004E-3</c:v>
                </c:pt>
                <c:pt idx="778">
                  <c:v>5.1000000000000004E-3</c:v>
                </c:pt>
                <c:pt idx="779">
                  <c:v>5.1999999999999998E-3</c:v>
                </c:pt>
                <c:pt idx="780">
                  <c:v>5.1999999999999998E-3</c:v>
                </c:pt>
                <c:pt idx="781">
                  <c:v>5.3E-3</c:v>
                </c:pt>
                <c:pt idx="782">
                  <c:v>5.3E-3</c:v>
                </c:pt>
                <c:pt idx="783">
                  <c:v>5.4000000000000003E-3</c:v>
                </c:pt>
                <c:pt idx="784">
                  <c:v>5.4000000000000003E-3</c:v>
                </c:pt>
                <c:pt idx="785">
                  <c:v>5.4000000000000003E-3</c:v>
                </c:pt>
                <c:pt idx="786">
                  <c:v>5.4999999999999997E-3</c:v>
                </c:pt>
                <c:pt idx="787">
                  <c:v>5.4999999999999997E-3</c:v>
                </c:pt>
                <c:pt idx="788">
                  <c:v>5.4999999999999997E-3</c:v>
                </c:pt>
                <c:pt idx="789">
                  <c:v>5.4999999999999997E-3</c:v>
                </c:pt>
                <c:pt idx="790">
                  <c:v>5.4999999999999997E-3</c:v>
                </c:pt>
                <c:pt idx="791">
                  <c:v>5.4000000000000003E-3</c:v>
                </c:pt>
                <c:pt idx="792">
                  <c:v>5.4999999999999997E-3</c:v>
                </c:pt>
                <c:pt idx="793">
                  <c:v>5.4999999999999997E-3</c:v>
                </c:pt>
                <c:pt idx="794">
                  <c:v>5.4000000000000003E-3</c:v>
                </c:pt>
                <c:pt idx="795">
                  <c:v>5.4999999999999997E-3</c:v>
                </c:pt>
                <c:pt idx="796">
                  <c:v>5.4999999999999997E-3</c:v>
                </c:pt>
                <c:pt idx="797">
                  <c:v>5.4000000000000003E-3</c:v>
                </c:pt>
                <c:pt idx="798">
                  <c:v>5.4000000000000003E-3</c:v>
                </c:pt>
                <c:pt idx="799">
                  <c:v>5.4999999999999997E-3</c:v>
                </c:pt>
                <c:pt idx="800">
                  <c:v>5.4000000000000003E-3</c:v>
                </c:pt>
                <c:pt idx="801">
                  <c:v>5.4000000000000003E-3</c:v>
                </c:pt>
                <c:pt idx="802">
                  <c:v>5.3E-3</c:v>
                </c:pt>
                <c:pt idx="803">
                  <c:v>5.4000000000000003E-3</c:v>
                </c:pt>
                <c:pt idx="804">
                  <c:v>5.4000000000000003E-3</c:v>
                </c:pt>
                <c:pt idx="805">
                  <c:v>5.3E-3</c:v>
                </c:pt>
                <c:pt idx="806">
                  <c:v>5.3E-3</c:v>
                </c:pt>
                <c:pt idx="807">
                  <c:v>5.4000000000000003E-3</c:v>
                </c:pt>
                <c:pt idx="808">
                  <c:v>5.3E-3</c:v>
                </c:pt>
                <c:pt idx="809">
                  <c:v>5.3E-3</c:v>
                </c:pt>
                <c:pt idx="810">
                  <c:v>5.3E-3</c:v>
                </c:pt>
                <c:pt idx="811">
                  <c:v>5.3E-3</c:v>
                </c:pt>
                <c:pt idx="812">
                  <c:v>5.3E-3</c:v>
                </c:pt>
                <c:pt idx="813">
                  <c:v>5.1999999999999998E-3</c:v>
                </c:pt>
                <c:pt idx="814">
                  <c:v>5.1999999999999998E-3</c:v>
                </c:pt>
                <c:pt idx="815">
                  <c:v>5.1999999999999998E-3</c:v>
                </c:pt>
                <c:pt idx="816">
                  <c:v>5.1999999999999998E-3</c:v>
                </c:pt>
                <c:pt idx="817">
                  <c:v>5.1000000000000004E-3</c:v>
                </c:pt>
                <c:pt idx="818">
                  <c:v>5.0000000000000001E-3</c:v>
                </c:pt>
                <c:pt idx="819">
                  <c:v>5.0000000000000001E-3</c:v>
                </c:pt>
                <c:pt idx="820">
                  <c:v>5.0000000000000001E-3</c:v>
                </c:pt>
                <c:pt idx="821">
                  <c:v>4.8999999999999998E-3</c:v>
                </c:pt>
                <c:pt idx="822">
                  <c:v>4.8999999999999998E-3</c:v>
                </c:pt>
                <c:pt idx="823">
                  <c:v>4.8999999999999998E-3</c:v>
                </c:pt>
                <c:pt idx="824">
                  <c:v>4.8999999999999998E-3</c:v>
                </c:pt>
                <c:pt idx="825">
                  <c:v>4.7999999999999996E-3</c:v>
                </c:pt>
                <c:pt idx="826">
                  <c:v>4.7999999999999996E-3</c:v>
                </c:pt>
                <c:pt idx="827">
                  <c:v>4.7999999999999996E-3</c:v>
                </c:pt>
                <c:pt idx="828">
                  <c:v>4.7999999999999996E-3</c:v>
                </c:pt>
                <c:pt idx="829">
                  <c:v>4.5999999999999999E-3</c:v>
                </c:pt>
                <c:pt idx="830">
                  <c:v>4.5999999999999999E-3</c:v>
                </c:pt>
                <c:pt idx="831">
                  <c:v>4.5999999999999999E-3</c:v>
                </c:pt>
                <c:pt idx="832">
                  <c:v>4.4999999999999997E-3</c:v>
                </c:pt>
                <c:pt idx="833">
                  <c:v>4.4999999999999997E-3</c:v>
                </c:pt>
                <c:pt idx="834">
                  <c:v>4.4999999999999997E-3</c:v>
                </c:pt>
                <c:pt idx="835">
                  <c:v>4.4999999999999997E-3</c:v>
                </c:pt>
                <c:pt idx="836">
                  <c:v>4.4000000000000003E-3</c:v>
                </c:pt>
                <c:pt idx="837">
                  <c:v>4.4000000000000003E-3</c:v>
                </c:pt>
                <c:pt idx="838">
                  <c:v>4.4000000000000003E-3</c:v>
                </c:pt>
                <c:pt idx="839">
                  <c:v>4.1999999999999997E-3</c:v>
                </c:pt>
                <c:pt idx="840">
                  <c:v>4.1999999999999997E-3</c:v>
                </c:pt>
                <c:pt idx="841">
                  <c:v>4.1000000000000003E-3</c:v>
                </c:pt>
                <c:pt idx="842">
                  <c:v>4.1000000000000003E-3</c:v>
                </c:pt>
                <c:pt idx="843">
                  <c:v>4.0000000000000001E-3</c:v>
                </c:pt>
                <c:pt idx="844">
                  <c:v>3.8999999999999998E-3</c:v>
                </c:pt>
                <c:pt idx="845">
                  <c:v>4.0000000000000001E-3</c:v>
                </c:pt>
                <c:pt idx="846">
                  <c:v>3.8999999999999998E-3</c:v>
                </c:pt>
                <c:pt idx="847">
                  <c:v>3.8E-3</c:v>
                </c:pt>
                <c:pt idx="848">
                  <c:v>3.8E-3</c:v>
                </c:pt>
                <c:pt idx="849">
                  <c:v>3.7000000000000002E-3</c:v>
                </c:pt>
                <c:pt idx="850">
                  <c:v>3.5999999999999999E-3</c:v>
                </c:pt>
                <c:pt idx="851">
                  <c:v>3.5999999999999999E-3</c:v>
                </c:pt>
                <c:pt idx="852">
                  <c:v>3.5000000000000001E-3</c:v>
                </c:pt>
                <c:pt idx="853">
                  <c:v>3.3999999999999998E-3</c:v>
                </c:pt>
                <c:pt idx="854">
                  <c:v>3.3999999999999998E-3</c:v>
                </c:pt>
                <c:pt idx="855">
                  <c:v>3.3E-3</c:v>
                </c:pt>
                <c:pt idx="856">
                  <c:v>3.2000000000000002E-3</c:v>
                </c:pt>
                <c:pt idx="857">
                  <c:v>3.2000000000000002E-3</c:v>
                </c:pt>
                <c:pt idx="858">
                  <c:v>3.0999999999999999E-3</c:v>
                </c:pt>
                <c:pt idx="859">
                  <c:v>3.0999999999999999E-3</c:v>
                </c:pt>
                <c:pt idx="860">
                  <c:v>3.0000000000000001E-3</c:v>
                </c:pt>
                <c:pt idx="861">
                  <c:v>3.0000000000000001E-3</c:v>
                </c:pt>
                <c:pt idx="862">
                  <c:v>2.8999999999999998E-3</c:v>
                </c:pt>
                <c:pt idx="863">
                  <c:v>2.8E-3</c:v>
                </c:pt>
                <c:pt idx="864">
                  <c:v>2.8E-3</c:v>
                </c:pt>
                <c:pt idx="865">
                  <c:v>2.7000000000000001E-3</c:v>
                </c:pt>
                <c:pt idx="866">
                  <c:v>2.7000000000000001E-3</c:v>
                </c:pt>
                <c:pt idx="867">
                  <c:v>2.5999999999999999E-3</c:v>
                </c:pt>
                <c:pt idx="868">
                  <c:v>2.5999999999999999E-3</c:v>
                </c:pt>
                <c:pt idx="869">
                  <c:v>2.5000000000000001E-3</c:v>
                </c:pt>
                <c:pt idx="870">
                  <c:v>2.5000000000000001E-3</c:v>
                </c:pt>
                <c:pt idx="871">
                  <c:v>2.3E-3</c:v>
                </c:pt>
                <c:pt idx="872">
                  <c:v>2.3E-3</c:v>
                </c:pt>
                <c:pt idx="873">
                  <c:v>2.2000000000000001E-3</c:v>
                </c:pt>
                <c:pt idx="874">
                  <c:v>2.2000000000000001E-3</c:v>
                </c:pt>
                <c:pt idx="875">
                  <c:v>2.2000000000000001E-3</c:v>
                </c:pt>
                <c:pt idx="876">
                  <c:v>2.0999999999999999E-3</c:v>
                </c:pt>
                <c:pt idx="877">
                  <c:v>2.0999999999999999E-3</c:v>
                </c:pt>
                <c:pt idx="878">
                  <c:v>2.0999999999999999E-3</c:v>
                </c:pt>
                <c:pt idx="879">
                  <c:v>2E-3</c:v>
                </c:pt>
                <c:pt idx="880">
                  <c:v>2E-3</c:v>
                </c:pt>
                <c:pt idx="881">
                  <c:v>1.8E-3</c:v>
                </c:pt>
                <c:pt idx="882">
                  <c:v>1.8E-3</c:v>
                </c:pt>
                <c:pt idx="883">
                  <c:v>1.8E-3</c:v>
                </c:pt>
                <c:pt idx="884">
                  <c:v>1.6999999999999999E-3</c:v>
                </c:pt>
                <c:pt idx="885">
                  <c:v>1.6999999999999999E-3</c:v>
                </c:pt>
                <c:pt idx="886">
                  <c:v>1.6999999999999999E-3</c:v>
                </c:pt>
                <c:pt idx="887">
                  <c:v>1.6000000000000001E-3</c:v>
                </c:pt>
                <c:pt idx="888">
                  <c:v>1.6000000000000001E-3</c:v>
                </c:pt>
                <c:pt idx="889">
                  <c:v>1.5E-3</c:v>
                </c:pt>
                <c:pt idx="890">
                  <c:v>1.4E-3</c:v>
                </c:pt>
                <c:pt idx="891">
                  <c:v>1.4E-3</c:v>
                </c:pt>
                <c:pt idx="892">
                  <c:v>1.2999999999999999E-3</c:v>
                </c:pt>
                <c:pt idx="893">
                  <c:v>1.2999999999999999E-3</c:v>
                </c:pt>
                <c:pt idx="894">
                  <c:v>1.2999999999999999E-3</c:v>
                </c:pt>
                <c:pt idx="895">
                  <c:v>1.1999999999999999E-3</c:v>
                </c:pt>
                <c:pt idx="896">
                  <c:v>1.1999999999999999E-3</c:v>
                </c:pt>
                <c:pt idx="897">
                  <c:v>1.1999999999999999E-3</c:v>
                </c:pt>
                <c:pt idx="898">
                  <c:v>1E-3</c:v>
                </c:pt>
                <c:pt idx="899">
                  <c:v>1E-3</c:v>
                </c:pt>
                <c:pt idx="900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2-AF4C-89B4-9DB8962E6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862768"/>
        <c:axId val="407076864"/>
      </c:scatterChart>
      <c:valAx>
        <c:axId val="406862768"/>
        <c:scaling>
          <c:orientation val="minMax"/>
          <c:max val="200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Wavelength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6864"/>
        <c:crosses val="autoZero"/>
        <c:crossBetween val="midCat"/>
      </c:valAx>
      <c:valAx>
        <c:axId val="40707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6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Baseline FUV - JPL 7 Layer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JPL 7 Layer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'Filter JPL 7-layer Aggressive 2'!$A$4:$A$904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xVal>
          <c:yVal>
            <c:numRef>
              <c:f>'Filter JPL 7-layer Aggressive 2'!$D$4:$D$904</c:f>
              <c:numCache>
                <c:formatCode>General</c:formatCode>
                <c:ptCount val="901"/>
                <c:pt idx="0">
                  <c:v>6.9999999999999999E-4</c:v>
                </c:pt>
                <c:pt idx="1">
                  <c:v>1E-3</c:v>
                </c:pt>
                <c:pt idx="2">
                  <c:v>2.5999999999999999E-3</c:v>
                </c:pt>
                <c:pt idx="3">
                  <c:v>6.1000000000000004E-3</c:v>
                </c:pt>
                <c:pt idx="4">
                  <c:v>1.17E-2</c:v>
                </c:pt>
                <c:pt idx="5">
                  <c:v>2.2200000000000001E-2</c:v>
                </c:pt>
                <c:pt idx="6">
                  <c:v>4.1099999999999998E-2</c:v>
                </c:pt>
                <c:pt idx="7">
                  <c:v>6.6900000000000001E-2</c:v>
                </c:pt>
                <c:pt idx="8">
                  <c:v>8.5400000000000004E-2</c:v>
                </c:pt>
                <c:pt idx="9">
                  <c:v>0.1077</c:v>
                </c:pt>
                <c:pt idx="10">
                  <c:v>0.1341</c:v>
                </c:pt>
                <c:pt idx="11">
                  <c:v>0.1021</c:v>
                </c:pt>
                <c:pt idx="12">
                  <c:v>7.9399999999999998E-2</c:v>
                </c:pt>
                <c:pt idx="13">
                  <c:v>6.4100000000000004E-2</c:v>
                </c:pt>
                <c:pt idx="14">
                  <c:v>5.2999999999999999E-2</c:v>
                </c:pt>
                <c:pt idx="15">
                  <c:v>4.5699999999999998E-2</c:v>
                </c:pt>
                <c:pt idx="16">
                  <c:v>4.1599999999999998E-2</c:v>
                </c:pt>
                <c:pt idx="17">
                  <c:v>4.0300000000000002E-2</c:v>
                </c:pt>
                <c:pt idx="18">
                  <c:v>0.04</c:v>
                </c:pt>
                <c:pt idx="19">
                  <c:v>4.0399999999999998E-2</c:v>
                </c:pt>
                <c:pt idx="20">
                  <c:v>4.1500000000000002E-2</c:v>
                </c:pt>
                <c:pt idx="21">
                  <c:v>4.3299999999999998E-2</c:v>
                </c:pt>
                <c:pt idx="22">
                  <c:v>4.6199999999999998E-2</c:v>
                </c:pt>
                <c:pt idx="23">
                  <c:v>5.0900000000000001E-2</c:v>
                </c:pt>
                <c:pt idx="24">
                  <c:v>5.7599999999999998E-2</c:v>
                </c:pt>
                <c:pt idx="25">
                  <c:v>6.7400000000000002E-2</c:v>
                </c:pt>
                <c:pt idx="26">
                  <c:v>8.09E-2</c:v>
                </c:pt>
                <c:pt idx="27">
                  <c:v>9.9699999999999997E-2</c:v>
                </c:pt>
                <c:pt idx="28">
                  <c:v>0.1268</c:v>
                </c:pt>
                <c:pt idx="29">
                  <c:v>0.16589999999999999</c:v>
                </c:pt>
                <c:pt idx="30">
                  <c:v>0.22409999999999999</c:v>
                </c:pt>
                <c:pt idx="31">
                  <c:v>0.31290000000000001</c:v>
                </c:pt>
                <c:pt idx="32">
                  <c:v>0.45279999999999998</c:v>
                </c:pt>
                <c:pt idx="33">
                  <c:v>0.68049999999999999</c:v>
                </c:pt>
                <c:pt idx="34">
                  <c:v>0.93669999999999998</c:v>
                </c:pt>
                <c:pt idx="35">
                  <c:v>1.0814999999999999</c:v>
                </c:pt>
                <c:pt idx="36">
                  <c:v>1.2551000000000001</c:v>
                </c:pt>
                <c:pt idx="37">
                  <c:v>1.4637</c:v>
                </c:pt>
                <c:pt idx="38">
                  <c:v>1.716</c:v>
                </c:pt>
                <c:pt idx="39">
                  <c:v>2.0246</c:v>
                </c:pt>
                <c:pt idx="40">
                  <c:v>2.3988999999999998</c:v>
                </c:pt>
                <c:pt idx="41">
                  <c:v>2.8546999999999998</c:v>
                </c:pt>
                <c:pt idx="42">
                  <c:v>3.4106000000000001</c:v>
                </c:pt>
                <c:pt idx="43">
                  <c:v>4.0902000000000003</c:v>
                </c:pt>
                <c:pt idx="44">
                  <c:v>4.9688999999999997</c:v>
                </c:pt>
                <c:pt idx="45">
                  <c:v>6.1433</c:v>
                </c:pt>
                <c:pt idx="46">
                  <c:v>7.5922999999999998</c:v>
                </c:pt>
                <c:pt idx="47">
                  <c:v>9.3787000000000003</c:v>
                </c:pt>
                <c:pt idx="48">
                  <c:v>11.528</c:v>
                </c:pt>
                <c:pt idx="49">
                  <c:v>14.051</c:v>
                </c:pt>
                <c:pt idx="50">
                  <c:v>16.915700000000001</c:v>
                </c:pt>
                <c:pt idx="51">
                  <c:v>20.057500000000001</c:v>
                </c:pt>
                <c:pt idx="52">
                  <c:v>23.316500000000001</c:v>
                </c:pt>
                <c:pt idx="53">
                  <c:v>26.507000000000001</c:v>
                </c:pt>
                <c:pt idx="54">
                  <c:v>29.447199999999999</c:v>
                </c:pt>
                <c:pt idx="55">
                  <c:v>32.875999999999998</c:v>
                </c:pt>
                <c:pt idx="56">
                  <c:v>35.709499999999998</c:v>
                </c:pt>
                <c:pt idx="57">
                  <c:v>37.0383</c:v>
                </c:pt>
                <c:pt idx="58">
                  <c:v>37.4298</c:v>
                </c:pt>
                <c:pt idx="59">
                  <c:v>37.185600000000001</c:v>
                </c:pt>
                <c:pt idx="60">
                  <c:v>36.336599999999997</c:v>
                </c:pt>
                <c:pt idx="61">
                  <c:v>34.876100000000001</c:v>
                </c:pt>
                <c:pt idx="62">
                  <c:v>33.486699999999999</c:v>
                </c:pt>
                <c:pt idx="63">
                  <c:v>31.791899999999998</c:v>
                </c:pt>
                <c:pt idx="64">
                  <c:v>29.840399999999999</c:v>
                </c:pt>
                <c:pt idx="65">
                  <c:v>27.697099999999999</c:v>
                </c:pt>
                <c:pt idx="66">
                  <c:v>25.428599999999999</c:v>
                </c:pt>
                <c:pt idx="67">
                  <c:v>23.136199999999999</c:v>
                </c:pt>
                <c:pt idx="68">
                  <c:v>20.890699999999999</c:v>
                </c:pt>
                <c:pt idx="69">
                  <c:v>18.742599999999999</c:v>
                </c:pt>
                <c:pt idx="70">
                  <c:v>16.728999999999999</c:v>
                </c:pt>
                <c:pt idx="71">
                  <c:v>14.871600000000001</c:v>
                </c:pt>
                <c:pt idx="72">
                  <c:v>13.1739</c:v>
                </c:pt>
                <c:pt idx="73">
                  <c:v>11.6325</c:v>
                </c:pt>
                <c:pt idx="74">
                  <c:v>10.2437</c:v>
                </c:pt>
                <c:pt idx="75">
                  <c:v>8.9989000000000008</c:v>
                </c:pt>
                <c:pt idx="76">
                  <c:v>7.9051</c:v>
                </c:pt>
                <c:pt idx="77">
                  <c:v>6.9318999999999997</c:v>
                </c:pt>
                <c:pt idx="78">
                  <c:v>6.0822000000000003</c:v>
                </c:pt>
                <c:pt idx="79">
                  <c:v>5.3318000000000003</c:v>
                </c:pt>
                <c:pt idx="80">
                  <c:v>4.6696999999999997</c:v>
                </c:pt>
                <c:pt idx="81">
                  <c:v>4.08</c:v>
                </c:pt>
                <c:pt idx="82">
                  <c:v>3.5615999999999999</c:v>
                </c:pt>
                <c:pt idx="83">
                  <c:v>3.1073</c:v>
                </c:pt>
                <c:pt idx="84">
                  <c:v>2.7105999999999999</c:v>
                </c:pt>
                <c:pt idx="85">
                  <c:v>2.3656000000000001</c:v>
                </c:pt>
                <c:pt idx="86">
                  <c:v>2.0678000000000001</c:v>
                </c:pt>
                <c:pt idx="87">
                  <c:v>1.8087</c:v>
                </c:pt>
                <c:pt idx="88">
                  <c:v>1.5834999999999999</c:v>
                </c:pt>
                <c:pt idx="89">
                  <c:v>1.3879999999999999</c:v>
                </c:pt>
                <c:pt idx="90">
                  <c:v>1.2181</c:v>
                </c:pt>
                <c:pt idx="91">
                  <c:v>1.0706</c:v>
                </c:pt>
                <c:pt idx="92">
                  <c:v>0.94230000000000003</c:v>
                </c:pt>
                <c:pt idx="93">
                  <c:v>0.83069999999999999</c:v>
                </c:pt>
                <c:pt idx="94">
                  <c:v>0.73370000000000002</c:v>
                </c:pt>
                <c:pt idx="95">
                  <c:v>0.6492</c:v>
                </c:pt>
                <c:pt idx="96">
                  <c:v>0.57489999999999997</c:v>
                </c:pt>
                <c:pt idx="97">
                  <c:v>0.5101</c:v>
                </c:pt>
                <c:pt idx="98">
                  <c:v>0.45350000000000001</c:v>
                </c:pt>
                <c:pt idx="99">
                  <c:v>0.40410000000000001</c:v>
                </c:pt>
                <c:pt idx="100">
                  <c:v>0.36080000000000001</c:v>
                </c:pt>
                <c:pt idx="101">
                  <c:v>0.32650000000000001</c:v>
                </c:pt>
                <c:pt idx="102">
                  <c:v>0.2959</c:v>
                </c:pt>
                <c:pt idx="103">
                  <c:v>0.26860000000000001</c:v>
                </c:pt>
                <c:pt idx="104">
                  <c:v>0.2442</c:v>
                </c:pt>
                <c:pt idx="105">
                  <c:v>0.22239999999999999</c:v>
                </c:pt>
                <c:pt idx="106">
                  <c:v>0.20300000000000001</c:v>
                </c:pt>
                <c:pt idx="107">
                  <c:v>0.1855</c:v>
                </c:pt>
                <c:pt idx="108">
                  <c:v>0.1699</c:v>
                </c:pt>
                <c:pt idx="109">
                  <c:v>0.15559999999999999</c:v>
                </c:pt>
                <c:pt idx="110">
                  <c:v>0.1429</c:v>
                </c:pt>
                <c:pt idx="111">
                  <c:v>0.1313</c:v>
                </c:pt>
                <c:pt idx="112">
                  <c:v>0.1208</c:v>
                </c:pt>
                <c:pt idx="113">
                  <c:v>0.11119999999999999</c:v>
                </c:pt>
                <c:pt idx="114">
                  <c:v>0.1026</c:v>
                </c:pt>
                <c:pt idx="115">
                  <c:v>9.4799999999999995E-2</c:v>
                </c:pt>
                <c:pt idx="116">
                  <c:v>8.7800000000000003E-2</c:v>
                </c:pt>
                <c:pt idx="117">
                  <c:v>8.14E-2</c:v>
                </c:pt>
                <c:pt idx="118">
                  <c:v>7.5399999999999995E-2</c:v>
                </c:pt>
                <c:pt idx="119">
                  <c:v>7.0099999999999996E-2</c:v>
                </c:pt>
                <c:pt idx="120">
                  <c:v>6.5299999999999997E-2</c:v>
                </c:pt>
                <c:pt idx="121">
                  <c:v>6.0900000000000003E-2</c:v>
                </c:pt>
                <c:pt idx="122">
                  <c:v>5.6899999999999999E-2</c:v>
                </c:pt>
                <c:pt idx="123">
                  <c:v>5.33E-2</c:v>
                </c:pt>
                <c:pt idx="124">
                  <c:v>0.05</c:v>
                </c:pt>
                <c:pt idx="125">
                  <c:v>4.7E-2</c:v>
                </c:pt>
                <c:pt idx="126">
                  <c:v>4.4299999999999999E-2</c:v>
                </c:pt>
                <c:pt idx="127">
                  <c:v>4.19E-2</c:v>
                </c:pt>
                <c:pt idx="128">
                  <c:v>3.9800000000000002E-2</c:v>
                </c:pt>
                <c:pt idx="129">
                  <c:v>3.7999999999999999E-2</c:v>
                </c:pt>
                <c:pt idx="130">
                  <c:v>3.6400000000000002E-2</c:v>
                </c:pt>
                <c:pt idx="131">
                  <c:v>3.5000000000000003E-2</c:v>
                </c:pt>
                <c:pt idx="132">
                  <c:v>3.3599999999999998E-2</c:v>
                </c:pt>
                <c:pt idx="133">
                  <c:v>3.2199999999999999E-2</c:v>
                </c:pt>
                <c:pt idx="134">
                  <c:v>3.09E-2</c:v>
                </c:pt>
                <c:pt idx="135">
                  <c:v>2.9600000000000001E-2</c:v>
                </c:pt>
                <c:pt idx="136">
                  <c:v>2.8199999999999999E-2</c:v>
                </c:pt>
                <c:pt idx="137">
                  <c:v>2.69E-2</c:v>
                </c:pt>
                <c:pt idx="138">
                  <c:v>2.5499999999999998E-2</c:v>
                </c:pt>
                <c:pt idx="139">
                  <c:v>2.4199999999999999E-2</c:v>
                </c:pt>
                <c:pt idx="140">
                  <c:v>2.29E-2</c:v>
                </c:pt>
                <c:pt idx="141">
                  <c:v>2.1700000000000001E-2</c:v>
                </c:pt>
                <c:pt idx="142">
                  <c:v>2.0500000000000001E-2</c:v>
                </c:pt>
                <c:pt idx="143">
                  <c:v>1.9400000000000001E-2</c:v>
                </c:pt>
                <c:pt idx="144">
                  <c:v>1.83E-2</c:v>
                </c:pt>
                <c:pt idx="145">
                  <c:v>1.7299999999999999E-2</c:v>
                </c:pt>
                <c:pt idx="146">
                  <c:v>1.6400000000000001E-2</c:v>
                </c:pt>
                <c:pt idx="147">
                  <c:v>1.55E-2</c:v>
                </c:pt>
                <c:pt idx="148">
                  <c:v>1.46E-2</c:v>
                </c:pt>
                <c:pt idx="149">
                  <c:v>1.38E-2</c:v>
                </c:pt>
                <c:pt idx="150">
                  <c:v>1.3100000000000001E-2</c:v>
                </c:pt>
                <c:pt idx="151">
                  <c:v>1.23E-2</c:v>
                </c:pt>
                <c:pt idx="152">
                  <c:v>1.17E-2</c:v>
                </c:pt>
                <c:pt idx="153">
                  <c:v>1.0999999999999999E-2</c:v>
                </c:pt>
                <c:pt idx="154">
                  <c:v>1.0500000000000001E-2</c:v>
                </c:pt>
                <c:pt idx="155">
                  <c:v>9.9000000000000008E-3</c:v>
                </c:pt>
                <c:pt idx="156">
                  <c:v>9.4000000000000004E-3</c:v>
                </c:pt>
                <c:pt idx="157">
                  <c:v>8.8999999999999999E-3</c:v>
                </c:pt>
                <c:pt idx="158">
                  <c:v>8.5000000000000006E-3</c:v>
                </c:pt>
                <c:pt idx="159">
                  <c:v>8.0000000000000002E-3</c:v>
                </c:pt>
                <c:pt idx="160">
                  <c:v>7.6E-3</c:v>
                </c:pt>
                <c:pt idx="161">
                  <c:v>7.3000000000000001E-3</c:v>
                </c:pt>
                <c:pt idx="162">
                  <c:v>6.8999999999999999E-3</c:v>
                </c:pt>
                <c:pt idx="163">
                  <c:v>6.6E-3</c:v>
                </c:pt>
                <c:pt idx="164">
                  <c:v>6.3E-3</c:v>
                </c:pt>
                <c:pt idx="165">
                  <c:v>6.0000000000000001E-3</c:v>
                </c:pt>
                <c:pt idx="166">
                  <c:v>5.7000000000000002E-3</c:v>
                </c:pt>
                <c:pt idx="167">
                  <c:v>5.4000000000000003E-3</c:v>
                </c:pt>
                <c:pt idx="168">
                  <c:v>5.1999999999999998E-3</c:v>
                </c:pt>
                <c:pt idx="169">
                  <c:v>5.0000000000000001E-3</c:v>
                </c:pt>
                <c:pt idx="170">
                  <c:v>4.7999999999999996E-3</c:v>
                </c:pt>
                <c:pt idx="171">
                  <c:v>4.5999999999999999E-3</c:v>
                </c:pt>
                <c:pt idx="172">
                  <c:v>4.4999999999999997E-3</c:v>
                </c:pt>
                <c:pt idx="173">
                  <c:v>4.3E-3</c:v>
                </c:pt>
                <c:pt idx="174">
                  <c:v>4.1999999999999997E-3</c:v>
                </c:pt>
                <c:pt idx="175">
                  <c:v>4.1000000000000003E-3</c:v>
                </c:pt>
                <c:pt idx="176">
                  <c:v>4.0000000000000001E-3</c:v>
                </c:pt>
                <c:pt idx="177">
                  <c:v>3.8999999999999998E-3</c:v>
                </c:pt>
                <c:pt idx="178">
                  <c:v>3.8999999999999998E-3</c:v>
                </c:pt>
                <c:pt idx="179">
                  <c:v>3.8E-3</c:v>
                </c:pt>
                <c:pt idx="180">
                  <c:v>3.7000000000000002E-3</c:v>
                </c:pt>
                <c:pt idx="181">
                  <c:v>3.7000000000000002E-3</c:v>
                </c:pt>
                <c:pt idx="182">
                  <c:v>3.5999999999999999E-3</c:v>
                </c:pt>
                <c:pt idx="183">
                  <c:v>3.5000000000000001E-3</c:v>
                </c:pt>
                <c:pt idx="184">
                  <c:v>3.5000000000000001E-3</c:v>
                </c:pt>
                <c:pt idx="185">
                  <c:v>3.3999999999999998E-3</c:v>
                </c:pt>
                <c:pt idx="186">
                  <c:v>3.3999999999999998E-3</c:v>
                </c:pt>
                <c:pt idx="187">
                  <c:v>3.3999999999999998E-3</c:v>
                </c:pt>
                <c:pt idx="188">
                  <c:v>3.3E-3</c:v>
                </c:pt>
                <c:pt idx="189">
                  <c:v>3.3E-3</c:v>
                </c:pt>
                <c:pt idx="190">
                  <c:v>3.3E-3</c:v>
                </c:pt>
                <c:pt idx="191">
                  <c:v>3.3999999999999998E-3</c:v>
                </c:pt>
                <c:pt idx="192">
                  <c:v>3.3999999999999998E-3</c:v>
                </c:pt>
                <c:pt idx="193">
                  <c:v>3.3999999999999998E-3</c:v>
                </c:pt>
                <c:pt idx="194">
                  <c:v>3.3999999999999998E-3</c:v>
                </c:pt>
                <c:pt idx="195">
                  <c:v>3.3999999999999998E-3</c:v>
                </c:pt>
                <c:pt idx="196">
                  <c:v>3.3999999999999998E-3</c:v>
                </c:pt>
                <c:pt idx="197">
                  <c:v>3.3999999999999998E-3</c:v>
                </c:pt>
                <c:pt idx="198">
                  <c:v>3.3999999999999998E-3</c:v>
                </c:pt>
                <c:pt idx="199">
                  <c:v>3.3999999999999998E-3</c:v>
                </c:pt>
                <c:pt idx="200">
                  <c:v>3.3E-3</c:v>
                </c:pt>
                <c:pt idx="201">
                  <c:v>3.3E-3</c:v>
                </c:pt>
                <c:pt idx="202">
                  <c:v>3.3E-3</c:v>
                </c:pt>
                <c:pt idx="203">
                  <c:v>3.3E-3</c:v>
                </c:pt>
                <c:pt idx="204">
                  <c:v>3.2000000000000002E-3</c:v>
                </c:pt>
                <c:pt idx="205">
                  <c:v>3.2000000000000002E-3</c:v>
                </c:pt>
                <c:pt idx="206">
                  <c:v>3.0999999999999999E-3</c:v>
                </c:pt>
                <c:pt idx="207">
                  <c:v>3.0999999999999999E-3</c:v>
                </c:pt>
                <c:pt idx="208">
                  <c:v>3.0999999999999999E-3</c:v>
                </c:pt>
                <c:pt idx="209">
                  <c:v>3.0000000000000001E-3</c:v>
                </c:pt>
                <c:pt idx="210">
                  <c:v>3.0000000000000001E-3</c:v>
                </c:pt>
                <c:pt idx="211">
                  <c:v>3.0000000000000001E-3</c:v>
                </c:pt>
                <c:pt idx="212">
                  <c:v>2.8999999999999998E-3</c:v>
                </c:pt>
                <c:pt idx="213">
                  <c:v>2.8999999999999998E-3</c:v>
                </c:pt>
                <c:pt idx="214">
                  <c:v>2.8E-3</c:v>
                </c:pt>
                <c:pt idx="215">
                  <c:v>2.8E-3</c:v>
                </c:pt>
                <c:pt idx="216">
                  <c:v>2.8E-3</c:v>
                </c:pt>
                <c:pt idx="217">
                  <c:v>2.7000000000000001E-3</c:v>
                </c:pt>
                <c:pt idx="218">
                  <c:v>2.7000000000000001E-3</c:v>
                </c:pt>
                <c:pt idx="219">
                  <c:v>2.5999999999999999E-3</c:v>
                </c:pt>
                <c:pt idx="220">
                  <c:v>2.5999999999999999E-3</c:v>
                </c:pt>
                <c:pt idx="221">
                  <c:v>2.5999999999999999E-3</c:v>
                </c:pt>
                <c:pt idx="222">
                  <c:v>2.5000000000000001E-3</c:v>
                </c:pt>
                <c:pt idx="223">
                  <c:v>2.5000000000000001E-3</c:v>
                </c:pt>
                <c:pt idx="224">
                  <c:v>2.3999999999999998E-3</c:v>
                </c:pt>
                <c:pt idx="225">
                  <c:v>2.3999999999999998E-3</c:v>
                </c:pt>
                <c:pt idx="226">
                  <c:v>2.3999999999999998E-3</c:v>
                </c:pt>
                <c:pt idx="227">
                  <c:v>2.3E-3</c:v>
                </c:pt>
                <c:pt idx="228">
                  <c:v>2.3E-3</c:v>
                </c:pt>
                <c:pt idx="229">
                  <c:v>2.3E-3</c:v>
                </c:pt>
                <c:pt idx="230">
                  <c:v>2.2000000000000001E-3</c:v>
                </c:pt>
                <c:pt idx="231">
                  <c:v>2.2000000000000001E-3</c:v>
                </c:pt>
                <c:pt idx="232">
                  <c:v>2.2000000000000001E-3</c:v>
                </c:pt>
                <c:pt idx="233">
                  <c:v>2.0999999999999999E-3</c:v>
                </c:pt>
                <c:pt idx="234">
                  <c:v>2.0999999999999999E-3</c:v>
                </c:pt>
                <c:pt idx="235">
                  <c:v>2.0999999999999999E-3</c:v>
                </c:pt>
                <c:pt idx="236">
                  <c:v>2.0999999999999999E-3</c:v>
                </c:pt>
                <c:pt idx="237">
                  <c:v>2E-3</c:v>
                </c:pt>
                <c:pt idx="238">
                  <c:v>2E-3</c:v>
                </c:pt>
                <c:pt idx="239">
                  <c:v>2E-3</c:v>
                </c:pt>
                <c:pt idx="240">
                  <c:v>1.9E-3</c:v>
                </c:pt>
                <c:pt idx="241">
                  <c:v>1.9E-3</c:v>
                </c:pt>
                <c:pt idx="242">
                  <c:v>1.9E-3</c:v>
                </c:pt>
                <c:pt idx="243">
                  <c:v>1.8E-3</c:v>
                </c:pt>
                <c:pt idx="244">
                  <c:v>1.8E-3</c:v>
                </c:pt>
                <c:pt idx="245">
                  <c:v>1.8E-3</c:v>
                </c:pt>
                <c:pt idx="246">
                  <c:v>1.8E-3</c:v>
                </c:pt>
                <c:pt idx="247">
                  <c:v>1.6999999999999999E-3</c:v>
                </c:pt>
                <c:pt idx="248">
                  <c:v>1.6999999999999999E-3</c:v>
                </c:pt>
                <c:pt idx="249">
                  <c:v>1.6999999999999999E-3</c:v>
                </c:pt>
                <c:pt idx="250">
                  <c:v>1.6999999999999999E-3</c:v>
                </c:pt>
                <c:pt idx="251">
                  <c:v>1.6000000000000001E-3</c:v>
                </c:pt>
                <c:pt idx="252">
                  <c:v>1.6000000000000001E-3</c:v>
                </c:pt>
                <c:pt idx="253">
                  <c:v>1.6000000000000001E-3</c:v>
                </c:pt>
                <c:pt idx="254">
                  <c:v>1.6000000000000001E-3</c:v>
                </c:pt>
                <c:pt idx="255">
                  <c:v>1.5E-3</c:v>
                </c:pt>
                <c:pt idx="256">
                  <c:v>1.5E-3</c:v>
                </c:pt>
                <c:pt idx="257">
                  <c:v>1.5E-3</c:v>
                </c:pt>
                <c:pt idx="258">
                  <c:v>1.5E-3</c:v>
                </c:pt>
                <c:pt idx="259">
                  <c:v>1.4E-3</c:v>
                </c:pt>
                <c:pt idx="260">
                  <c:v>1.4E-3</c:v>
                </c:pt>
                <c:pt idx="261">
                  <c:v>1.4E-3</c:v>
                </c:pt>
                <c:pt idx="262">
                  <c:v>1.4E-3</c:v>
                </c:pt>
                <c:pt idx="263">
                  <c:v>1.4E-3</c:v>
                </c:pt>
                <c:pt idx="264">
                  <c:v>1.2999999999999999E-3</c:v>
                </c:pt>
                <c:pt idx="265">
                  <c:v>1.2999999999999999E-3</c:v>
                </c:pt>
                <c:pt idx="266">
                  <c:v>1.2999999999999999E-3</c:v>
                </c:pt>
                <c:pt idx="267">
                  <c:v>1.2999999999999999E-3</c:v>
                </c:pt>
                <c:pt idx="268">
                  <c:v>1.2999999999999999E-3</c:v>
                </c:pt>
                <c:pt idx="269">
                  <c:v>1.2999999999999999E-3</c:v>
                </c:pt>
                <c:pt idx="270">
                  <c:v>1.2999999999999999E-3</c:v>
                </c:pt>
                <c:pt idx="271">
                  <c:v>1.2999999999999999E-3</c:v>
                </c:pt>
                <c:pt idx="272">
                  <c:v>1.2999999999999999E-3</c:v>
                </c:pt>
                <c:pt idx="273">
                  <c:v>1.2999999999999999E-3</c:v>
                </c:pt>
                <c:pt idx="274">
                  <c:v>1.2999999999999999E-3</c:v>
                </c:pt>
                <c:pt idx="275">
                  <c:v>1.2999999999999999E-3</c:v>
                </c:pt>
                <c:pt idx="276">
                  <c:v>1.2999999999999999E-3</c:v>
                </c:pt>
                <c:pt idx="277">
                  <c:v>1.2999999999999999E-3</c:v>
                </c:pt>
                <c:pt idx="278">
                  <c:v>1.2999999999999999E-3</c:v>
                </c:pt>
                <c:pt idx="279">
                  <c:v>1.2999999999999999E-3</c:v>
                </c:pt>
                <c:pt idx="280">
                  <c:v>1.2999999999999999E-3</c:v>
                </c:pt>
                <c:pt idx="281">
                  <c:v>1.2999999999999999E-3</c:v>
                </c:pt>
                <c:pt idx="282">
                  <c:v>1.2999999999999999E-3</c:v>
                </c:pt>
                <c:pt idx="283">
                  <c:v>1.2999999999999999E-3</c:v>
                </c:pt>
                <c:pt idx="284">
                  <c:v>1.2999999999999999E-3</c:v>
                </c:pt>
                <c:pt idx="285">
                  <c:v>1.2999999999999999E-3</c:v>
                </c:pt>
                <c:pt idx="286">
                  <c:v>1.2999999999999999E-3</c:v>
                </c:pt>
                <c:pt idx="287">
                  <c:v>1.2999999999999999E-3</c:v>
                </c:pt>
                <c:pt idx="288">
                  <c:v>1.2999999999999999E-3</c:v>
                </c:pt>
                <c:pt idx="289">
                  <c:v>1.2999999999999999E-3</c:v>
                </c:pt>
                <c:pt idx="290">
                  <c:v>1.2999999999999999E-3</c:v>
                </c:pt>
                <c:pt idx="291">
                  <c:v>1.2999999999999999E-3</c:v>
                </c:pt>
                <c:pt idx="292">
                  <c:v>1.2999999999999999E-3</c:v>
                </c:pt>
                <c:pt idx="293">
                  <c:v>1.2999999999999999E-3</c:v>
                </c:pt>
                <c:pt idx="294">
                  <c:v>1.2999999999999999E-3</c:v>
                </c:pt>
                <c:pt idx="295">
                  <c:v>1.2999999999999999E-3</c:v>
                </c:pt>
                <c:pt idx="296">
                  <c:v>1.2999999999999999E-3</c:v>
                </c:pt>
                <c:pt idx="297">
                  <c:v>1.2999999999999999E-3</c:v>
                </c:pt>
                <c:pt idx="298">
                  <c:v>1.2999999999999999E-3</c:v>
                </c:pt>
                <c:pt idx="299">
                  <c:v>1.2999999999999999E-3</c:v>
                </c:pt>
                <c:pt idx="300">
                  <c:v>1.2999999999999999E-3</c:v>
                </c:pt>
                <c:pt idx="301">
                  <c:v>1.2999999999999999E-3</c:v>
                </c:pt>
                <c:pt idx="302">
                  <c:v>1.2999999999999999E-3</c:v>
                </c:pt>
                <c:pt idx="303">
                  <c:v>1.2999999999999999E-3</c:v>
                </c:pt>
                <c:pt idx="304">
                  <c:v>1.2999999999999999E-3</c:v>
                </c:pt>
                <c:pt idx="305">
                  <c:v>1.2999999999999999E-3</c:v>
                </c:pt>
                <c:pt idx="306">
                  <c:v>1.2999999999999999E-3</c:v>
                </c:pt>
                <c:pt idx="307">
                  <c:v>1.2999999999999999E-3</c:v>
                </c:pt>
                <c:pt idx="308">
                  <c:v>1.2999999999999999E-3</c:v>
                </c:pt>
                <c:pt idx="309">
                  <c:v>1.2999999999999999E-3</c:v>
                </c:pt>
                <c:pt idx="310">
                  <c:v>1.2999999999999999E-3</c:v>
                </c:pt>
                <c:pt idx="311">
                  <c:v>1.2999999999999999E-3</c:v>
                </c:pt>
                <c:pt idx="312">
                  <c:v>1.2999999999999999E-3</c:v>
                </c:pt>
                <c:pt idx="313">
                  <c:v>1.2999999999999999E-3</c:v>
                </c:pt>
                <c:pt idx="314">
                  <c:v>1.2999999999999999E-3</c:v>
                </c:pt>
                <c:pt idx="315">
                  <c:v>1.2999999999999999E-3</c:v>
                </c:pt>
                <c:pt idx="316">
                  <c:v>1.2999999999999999E-3</c:v>
                </c:pt>
                <c:pt idx="317">
                  <c:v>1.2999999999999999E-3</c:v>
                </c:pt>
                <c:pt idx="318">
                  <c:v>1.2999999999999999E-3</c:v>
                </c:pt>
                <c:pt idx="319">
                  <c:v>1.2999999999999999E-3</c:v>
                </c:pt>
                <c:pt idx="320">
                  <c:v>1.1999999999999999E-3</c:v>
                </c:pt>
                <c:pt idx="321">
                  <c:v>1.1999999999999999E-3</c:v>
                </c:pt>
                <c:pt idx="322">
                  <c:v>1.1999999999999999E-3</c:v>
                </c:pt>
                <c:pt idx="323">
                  <c:v>1.1999999999999999E-3</c:v>
                </c:pt>
                <c:pt idx="324">
                  <c:v>1.1999999999999999E-3</c:v>
                </c:pt>
                <c:pt idx="325">
                  <c:v>1.1999999999999999E-3</c:v>
                </c:pt>
                <c:pt idx="326">
                  <c:v>1.1999999999999999E-3</c:v>
                </c:pt>
                <c:pt idx="327">
                  <c:v>1.1999999999999999E-3</c:v>
                </c:pt>
                <c:pt idx="328">
                  <c:v>1.1999999999999999E-3</c:v>
                </c:pt>
                <c:pt idx="329">
                  <c:v>1.1999999999999999E-3</c:v>
                </c:pt>
                <c:pt idx="330">
                  <c:v>1.1999999999999999E-3</c:v>
                </c:pt>
                <c:pt idx="331">
                  <c:v>1.1999999999999999E-3</c:v>
                </c:pt>
                <c:pt idx="332">
                  <c:v>1.1999999999999999E-3</c:v>
                </c:pt>
                <c:pt idx="333">
                  <c:v>1.1999999999999999E-3</c:v>
                </c:pt>
                <c:pt idx="334">
                  <c:v>1.1999999999999999E-3</c:v>
                </c:pt>
                <c:pt idx="335">
                  <c:v>1.1999999999999999E-3</c:v>
                </c:pt>
                <c:pt idx="336">
                  <c:v>1.1999999999999999E-3</c:v>
                </c:pt>
                <c:pt idx="337">
                  <c:v>1.1999999999999999E-3</c:v>
                </c:pt>
                <c:pt idx="338">
                  <c:v>1.1999999999999999E-3</c:v>
                </c:pt>
                <c:pt idx="339">
                  <c:v>1.1999999999999999E-3</c:v>
                </c:pt>
                <c:pt idx="340">
                  <c:v>1.1000000000000001E-3</c:v>
                </c:pt>
                <c:pt idx="341">
                  <c:v>1.1000000000000001E-3</c:v>
                </c:pt>
                <c:pt idx="342">
                  <c:v>1.1000000000000001E-3</c:v>
                </c:pt>
                <c:pt idx="343">
                  <c:v>1.1000000000000001E-3</c:v>
                </c:pt>
                <c:pt idx="344">
                  <c:v>1.1000000000000001E-3</c:v>
                </c:pt>
                <c:pt idx="345">
                  <c:v>1.1000000000000001E-3</c:v>
                </c:pt>
                <c:pt idx="346">
                  <c:v>1.1000000000000001E-3</c:v>
                </c:pt>
                <c:pt idx="347">
                  <c:v>1.1000000000000001E-3</c:v>
                </c:pt>
                <c:pt idx="348">
                  <c:v>1.1000000000000001E-3</c:v>
                </c:pt>
                <c:pt idx="349">
                  <c:v>1.1000000000000001E-3</c:v>
                </c:pt>
                <c:pt idx="350">
                  <c:v>1.1000000000000001E-3</c:v>
                </c:pt>
                <c:pt idx="351">
                  <c:v>1.1000000000000001E-3</c:v>
                </c:pt>
                <c:pt idx="352">
                  <c:v>1.1000000000000001E-3</c:v>
                </c:pt>
                <c:pt idx="353">
                  <c:v>1.1000000000000001E-3</c:v>
                </c:pt>
                <c:pt idx="354">
                  <c:v>1.1000000000000001E-3</c:v>
                </c:pt>
                <c:pt idx="355">
                  <c:v>1.1000000000000001E-3</c:v>
                </c:pt>
                <c:pt idx="356">
                  <c:v>1.1000000000000001E-3</c:v>
                </c:pt>
                <c:pt idx="357">
                  <c:v>1.1000000000000001E-3</c:v>
                </c:pt>
                <c:pt idx="358">
                  <c:v>1.1000000000000001E-3</c:v>
                </c:pt>
                <c:pt idx="359">
                  <c:v>1.1000000000000001E-3</c:v>
                </c:pt>
                <c:pt idx="360">
                  <c:v>1.1000000000000001E-3</c:v>
                </c:pt>
                <c:pt idx="361">
                  <c:v>1.1000000000000001E-3</c:v>
                </c:pt>
                <c:pt idx="362">
                  <c:v>1.1000000000000001E-3</c:v>
                </c:pt>
                <c:pt idx="363">
                  <c:v>1.1000000000000001E-3</c:v>
                </c:pt>
                <c:pt idx="364">
                  <c:v>1.1000000000000001E-3</c:v>
                </c:pt>
                <c:pt idx="365">
                  <c:v>1E-3</c:v>
                </c:pt>
                <c:pt idx="366">
                  <c:v>1E-3</c:v>
                </c:pt>
                <c:pt idx="367">
                  <c:v>1E-3</c:v>
                </c:pt>
                <c:pt idx="368">
                  <c:v>1E-3</c:v>
                </c:pt>
                <c:pt idx="369">
                  <c:v>1E-3</c:v>
                </c:pt>
                <c:pt idx="370">
                  <c:v>1E-3</c:v>
                </c:pt>
                <c:pt idx="371">
                  <c:v>1E-3</c:v>
                </c:pt>
                <c:pt idx="372">
                  <c:v>1E-3</c:v>
                </c:pt>
                <c:pt idx="373">
                  <c:v>1E-3</c:v>
                </c:pt>
                <c:pt idx="374">
                  <c:v>1E-3</c:v>
                </c:pt>
                <c:pt idx="375">
                  <c:v>1E-3</c:v>
                </c:pt>
                <c:pt idx="376">
                  <c:v>1E-3</c:v>
                </c:pt>
                <c:pt idx="377">
                  <c:v>1E-3</c:v>
                </c:pt>
                <c:pt idx="378">
                  <c:v>1E-3</c:v>
                </c:pt>
                <c:pt idx="379">
                  <c:v>1E-3</c:v>
                </c:pt>
                <c:pt idx="380">
                  <c:v>1E-3</c:v>
                </c:pt>
                <c:pt idx="381">
                  <c:v>1E-3</c:v>
                </c:pt>
                <c:pt idx="382">
                  <c:v>1E-3</c:v>
                </c:pt>
                <c:pt idx="383">
                  <c:v>1E-3</c:v>
                </c:pt>
                <c:pt idx="384">
                  <c:v>1E-3</c:v>
                </c:pt>
                <c:pt idx="385">
                  <c:v>1E-3</c:v>
                </c:pt>
                <c:pt idx="386">
                  <c:v>1E-3</c:v>
                </c:pt>
                <c:pt idx="387">
                  <c:v>1E-3</c:v>
                </c:pt>
                <c:pt idx="388">
                  <c:v>1E-3</c:v>
                </c:pt>
                <c:pt idx="389">
                  <c:v>1E-3</c:v>
                </c:pt>
                <c:pt idx="390">
                  <c:v>1E-3</c:v>
                </c:pt>
                <c:pt idx="391">
                  <c:v>1E-3</c:v>
                </c:pt>
                <c:pt idx="392">
                  <c:v>1E-3</c:v>
                </c:pt>
                <c:pt idx="393">
                  <c:v>1E-3</c:v>
                </c:pt>
                <c:pt idx="394">
                  <c:v>1E-3</c:v>
                </c:pt>
                <c:pt idx="395">
                  <c:v>1E-3</c:v>
                </c:pt>
                <c:pt idx="396">
                  <c:v>1E-3</c:v>
                </c:pt>
                <c:pt idx="397">
                  <c:v>1E-3</c:v>
                </c:pt>
                <c:pt idx="398">
                  <c:v>1E-3</c:v>
                </c:pt>
                <c:pt idx="399">
                  <c:v>1E-3</c:v>
                </c:pt>
                <c:pt idx="400">
                  <c:v>8.9999999999999998E-4</c:v>
                </c:pt>
                <c:pt idx="401">
                  <c:v>8.9999999999999998E-4</c:v>
                </c:pt>
                <c:pt idx="402">
                  <c:v>8.9999999999999998E-4</c:v>
                </c:pt>
                <c:pt idx="403">
                  <c:v>8.9999999999999998E-4</c:v>
                </c:pt>
                <c:pt idx="404">
                  <c:v>8.9999999999999998E-4</c:v>
                </c:pt>
                <c:pt idx="405">
                  <c:v>8.9999999999999998E-4</c:v>
                </c:pt>
                <c:pt idx="406">
                  <c:v>8.9999999999999998E-4</c:v>
                </c:pt>
                <c:pt idx="407">
                  <c:v>8.9999999999999998E-4</c:v>
                </c:pt>
                <c:pt idx="408">
                  <c:v>8.9999999999999998E-4</c:v>
                </c:pt>
                <c:pt idx="409">
                  <c:v>8.9999999999999998E-4</c:v>
                </c:pt>
                <c:pt idx="410">
                  <c:v>8.9999999999999998E-4</c:v>
                </c:pt>
                <c:pt idx="411">
                  <c:v>8.9999999999999998E-4</c:v>
                </c:pt>
                <c:pt idx="412">
                  <c:v>8.9999999999999998E-4</c:v>
                </c:pt>
                <c:pt idx="413">
                  <c:v>8.9999999999999998E-4</c:v>
                </c:pt>
                <c:pt idx="414">
                  <c:v>8.9999999999999998E-4</c:v>
                </c:pt>
                <c:pt idx="415">
                  <c:v>8.9999999999999998E-4</c:v>
                </c:pt>
                <c:pt idx="416">
                  <c:v>8.9999999999999998E-4</c:v>
                </c:pt>
                <c:pt idx="417">
                  <c:v>8.9999999999999998E-4</c:v>
                </c:pt>
                <c:pt idx="418">
                  <c:v>8.9999999999999998E-4</c:v>
                </c:pt>
                <c:pt idx="419">
                  <c:v>8.9999999999999998E-4</c:v>
                </c:pt>
                <c:pt idx="420">
                  <c:v>8.9999999999999998E-4</c:v>
                </c:pt>
                <c:pt idx="421">
                  <c:v>8.9999999999999998E-4</c:v>
                </c:pt>
                <c:pt idx="422">
                  <c:v>8.9999999999999998E-4</c:v>
                </c:pt>
                <c:pt idx="423">
                  <c:v>8.9999999999999998E-4</c:v>
                </c:pt>
                <c:pt idx="424">
                  <c:v>8.9999999999999998E-4</c:v>
                </c:pt>
                <c:pt idx="425">
                  <c:v>8.9999999999999998E-4</c:v>
                </c:pt>
                <c:pt idx="426">
                  <c:v>8.9999999999999998E-4</c:v>
                </c:pt>
                <c:pt idx="427">
                  <c:v>8.9999999999999998E-4</c:v>
                </c:pt>
                <c:pt idx="428">
                  <c:v>8.9999999999999998E-4</c:v>
                </c:pt>
                <c:pt idx="429">
                  <c:v>8.9999999999999998E-4</c:v>
                </c:pt>
                <c:pt idx="430">
                  <c:v>8.9999999999999998E-4</c:v>
                </c:pt>
                <c:pt idx="431">
                  <c:v>8.9999999999999998E-4</c:v>
                </c:pt>
                <c:pt idx="432">
                  <c:v>8.9999999999999998E-4</c:v>
                </c:pt>
                <c:pt idx="433">
                  <c:v>8.9999999999999998E-4</c:v>
                </c:pt>
                <c:pt idx="434">
                  <c:v>8.9999999999999998E-4</c:v>
                </c:pt>
                <c:pt idx="435">
                  <c:v>8.9999999999999998E-4</c:v>
                </c:pt>
                <c:pt idx="436">
                  <c:v>8.9999999999999998E-4</c:v>
                </c:pt>
                <c:pt idx="437">
                  <c:v>8.9999999999999998E-4</c:v>
                </c:pt>
                <c:pt idx="438">
                  <c:v>8.9999999999999998E-4</c:v>
                </c:pt>
                <c:pt idx="439">
                  <c:v>8.9999999999999998E-4</c:v>
                </c:pt>
                <c:pt idx="440">
                  <c:v>8.9999999999999998E-4</c:v>
                </c:pt>
                <c:pt idx="441">
                  <c:v>8.9999999999999998E-4</c:v>
                </c:pt>
                <c:pt idx="442">
                  <c:v>8.9999999999999998E-4</c:v>
                </c:pt>
                <c:pt idx="443">
                  <c:v>8.9999999999999998E-4</c:v>
                </c:pt>
                <c:pt idx="444">
                  <c:v>8.9999999999999998E-4</c:v>
                </c:pt>
                <c:pt idx="445">
                  <c:v>8.9999999999999998E-4</c:v>
                </c:pt>
                <c:pt idx="446">
                  <c:v>8.9999999999999998E-4</c:v>
                </c:pt>
                <c:pt idx="447">
                  <c:v>8.9999999999999998E-4</c:v>
                </c:pt>
                <c:pt idx="448">
                  <c:v>8.0000000000000004E-4</c:v>
                </c:pt>
                <c:pt idx="449">
                  <c:v>8.0000000000000004E-4</c:v>
                </c:pt>
                <c:pt idx="450">
                  <c:v>8.0000000000000004E-4</c:v>
                </c:pt>
                <c:pt idx="451">
                  <c:v>8.0000000000000004E-4</c:v>
                </c:pt>
                <c:pt idx="452">
                  <c:v>8.0000000000000004E-4</c:v>
                </c:pt>
                <c:pt idx="453">
                  <c:v>8.0000000000000004E-4</c:v>
                </c:pt>
                <c:pt idx="454">
                  <c:v>8.0000000000000004E-4</c:v>
                </c:pt>
                <c:pt idx="455">
                  <c:v>8.0000000000000004E-4</c:v>
                </c:pt>
                <c:pt idx="456">
                  <c:v>8.0000000000000004E-4</c:v>
                </c:pt>
                <c:pt idx="457">
                  <c:v>8.0000000000000004E-4</c:v>
                </c:pt>
                <c:pt idx="458">
                  <c:v>8.0000000000000004E-4</c:v>
                </c:pt>
                <c:pt idx="459">
                  <c:v>8.0000000000000004E-4</c:v>
                </c:pt>
                <c:pt idx="460">
                  <c:v>8.0000000000000004E-4</c:v>
                </c:pt>
                <c:pt idx="461">
                  <c:v>8.0000000000000004E-4</c:v>
                </c:pt>
                <c:pt idx="462">
                  <c:v>8.0000000000000004E-4</c:v>
                </c:pt>
                <c:pt idx="463">
                  <c:v>8.0000000000000004E-4</c:v>
                </c:pt>
                <c:pt idx="464">
                  <c:v>8.0000000000000004E-4</c:v>
                </c:pt>
                <c:pt idx="465">
                  <c:v>8.0000000000000004E-4</c:v>
                </c:pt>
                <c:pt idx="466">
                  <c:v>8.0000000000000004E-4</c:v>
                </c:pt>
                <c:pt idx="467">
                  <c:v>8.0000000000000004E-4</c:v>
                </c:pt>
                <c:pt idx="468">
                  <c:v>8.0000000000000004E-4</c:v>
                </c:pt>
                <c:pt idx="469">
                  <c:v>8.0000000000000004E-4</c:v>
                </c:pt>
                <c:pt idx="470">
                  <c:v>8.0000000000000004E-4</c:v>
                </c:pt>
                <c:pt idx="471">
                  <c:v>8.0000000000000004E-4</c:v>
                </c:pt>
                <c:pt idx="472">
                  <c:v>8.0000000000000004E-4</c:v>
                </c:pt>
                <c:pt idx="473">
                  <c:v>8.0000000000000004E-4</c:v>
                </c:pt>
                <c:pt idx="474">
                  <c:v>8.0000000000000004E-4</c:v>
                </c:pt>
                <c:pt idx="475">
                  <c:v>8.0000000000000004E-4</c:v>
                </c:pt>
                <c:pt idx="476">
                  <c:v>8.0000000000000004E-4</c:v>
                </c:pt>
                <c:pt idx="477">
                  <c:v>8.0000000000000004E-4</c:v>
                </c:pt>
                <c:pt idx="478">
                  <c:v>8.0000000000000004E-4</c:v>
                </c:pt>
                <c:pt idx="479">
                  <c:v>8.0000000000000004E-4</c:v>
                </c:pt>
                <c:pt idx="480">
                  <c:v>8.0000000000000004E-4</c:v>
                </c:pt>
                <c:pt idx="481">
                  <c:v>8.0000000000000004E-4</c:v>
                </c:pt>
                <c:pt idx="482">
                  <c:v>8.0000000000000004E-4</c:v>
                </c:pt>
                <c:pt idx="483">
                  <c:v>8.0000000000000004E-4</c:v>
                </c:pt>
                <c:pt idx="484">
                  <c:v>8.0000000000000004E-4</c:v>
                </c:pt>
                <c:pt idx="485">
                  <c:v>8.0000000000000004E-4</c:v>
                </c:pt>
                <c:pt idx="486">
                  <c:v>8.0000000000000004E-4</c:v>
                </c:pt>
                <c:pt idx="487">
                  <c:v>8.0000000000000004E-4</c:v>
                </c:pt>
                <c:pt idx="488">
                  <c:v>8.0000000000000004E-4</c:v>
                </c:pt>
                <c:pt idx="489">
                  <c:v>8.0000000000000004E-4</c:v>
                </c:pt>
                <c:pt idx="490">
                  <c:v>8.0000000000000004E-4</c:v>
                </c:pt>
                <c:pt idx="491">
                  <c:v>8.0000000000000004E-4</c:v>
                </c:pt>
                <c:pt idx="492">
                  <c:v>8.0000000000000004E-4</c:v>
                </c:pt>
                <c:pt idx="493">
                  <c:v>8.0000000000000004E-4</c:v>
                </c:pt>
                <c:pt idx="494">
                  <c:v>8.0000000000000004E-4</c:v>
                </c:pt>
                <c:pt idx="495">
                  <c:v>8.0000000000000004E-4</c:v>
                </c:pt>
                <c:pt idx="496">
                  <c:v>8.0000000000000004E-4</c:v>
                </c:pt>
                <c:pt idx="497">
                  <c:v>8.0000000000000004E-4</c:v>
                </c:pt>
                <c:pt idx="498">
                  <c:v>8.0000000000000004E-4</c:v>
                </c:pt>
                <c:pt idx="499">
                  <c:v>8.0000000000000004E-4</c:v>
                </c:pt>
                <c:pt idx="500">
                  <c:v>8.0000000000000004E-4</c:v>
                </c:pt>
                <c:pt idx="501">
                  <c:v>8.0000000000000004E-4</c:v>
                </c:pt>
                <c:pt idx="502">
                  <c:v>8.0000000000000004E-4</c:v>
                </c:pt>
                <c:pt idx="503">
                  <c:v>8.0000000000000004E-4</c:v>
                </c:pt>
                <c:pt idx="504">
                  <c:v>8.0000000000000004E-4</c:v>
                </c:pt>
                <c:pt idx="505">
                  <c:v>8.0000000000000004E-4</c:v>
                </c:pt>
                <c:pt idx="506">
                  <c:v>8.0000000000000004E-4</c:v>
                </c:pt>
                <c:pt idx="507">
                  <c:v>8.0000000000000004E-4</c:v>
                </c:pt>
                <c:pt idx="508">
                  <c:v>8.0000000000000004E-4</c:v>
                </c:pt>
                <c:pt idx="509">
                  <c:v>8.0000000000000004E-4</c:v>
                </c:pt>
                <c:pt idx="510">
                  <c:v>8.0000000000000004E-4</c:v>
                </c:pt>
                <c:pt idx="511">
                  <c:v>8.0000000000000004E-4</c:v>
                </c:pt>
                <c:pt idx="512">
                  <c:v>8.0000000000000004E-4</c:v>
                </c:pt>
                <c:pt idx="513">
                  <c:v>8.0000000000000004E-4</c:v>
                </c:pt>
                <c:pt idx="514">
                  <c:v>8.0000000000000004E-4</c:v>
                </c:pt>
                <c:pt idx="515">
                  <c:v>8.0000000000000004E-4</c:v>
                </c:pt>
                <c:pt idx="516">
                  <c:v>8.0000000000000004E-4</c:v>
                </c:pt>
                <c:pt idx="517">
                  <c:v>8.0000000000000004E-4</c:v>
                </c:pt>
                <c:pt idx="518">
                  <c:v>8.0000000000000004E-4</c:v>
                </c:pt>
                <c:pt idx="519">
                  <c:v>8.0000000000000004E-4</c:v>
                </c:pt>
                <c:pt idx="520">
                  <c:v>8.0000000000000004E-4</c:v>
                </c:pt>
                <c:pt idx="521">
                  <c:v>8.0000000000000004E-4</c:v>
                </c:pt>
                <c:pt idx="522">
                  <c:v>8.0000000000000004E-4</c:v>
                </c:pt>
                <c:pt idx="523">
                  <c:v>8.0000000000000004E-4</c:v>
                </c:pt>
                <c:pt idx="524">
                  <c:v>8.0000000000000004E-4</c:v>
                </c:pt>
                <c:pt idx="525">
                  <c:v>8.0000000000000004E-4</c:v>
                </c:pt>
                <c:pt idx="526">
                  <c:v>8.0000000000000004E-4</c:v>
                </c:pt>
                <c:pt idx="527">
                  <c:v>8.0000000000000004E-4</c:v>
                </c:pt>
                <c:pt idx="528">
                  <c:v>8.0000000000000004E-4</c:v>
                </c:pt>
                <c:pt idx="529">
                  <c:v>8.0000000000000004E-4</c:v>
                </c:pt>
                <c:pt idx="530">
                  <c:v>8.0000000000000004E-4</c:v>
                </c:pt>
                <c:pt idx="531">
                  <c:v>8.0000000000000004E-4</c:v>
                </c:pt>
                <c:pt idx="532">
                  <c:v>8.0000000000000004E-4</c:v>
                </c:pt>
                <c:pt idx="533">
                  <c:v>8.0000000000000004E-4</c:v>
                </c:pt>
                <c:pt idx="534">
                  <c:v>8.0000000000000004E-4</c:v>
                </c:pt>
                <c:pt idx="535">
                  <c:v>8.0000000000000004E-4</c:v>
                </c:pt>
                <c:pt idx="536">
                  <c:v>8.0000000000000004E-4</c:v>
                </c:pt>
                <c:pt idx="537">
                  <c:v>8.0000000000000004E-4</c:v>
                </c:pt>
                <c:pt idx="538">
                  <c:v>8.0000000000000004E-4</c:v>
                </c:pt>
                <c:pt idx="539">
                  <c:v>8.0000000000000004E-4</c:v>
                </c:pt>
                <c:pt idx="540">
                  <c:v>8.0000000000000004E-4</c:v>
                </c:pt>
                <c:pt idx="541">
                  <c:v>8.0000000000000004E-4</c:v>
                </c:pt>
                <c:pt idx="542">
                  <c:v>8.0000000000000004E-4</c:v>
                </c:pt>
                <c:pt idx="543">
                  <c:v>8.0000000000000004E-4</c:v>
                </c:pt>
                <c:pt idx="544">
                  <c:v>8.0000000000000004E-4</c:v>
                </c:pt>
                <c:pt idx="545">
                  <c:v>8.0000000000000004E-4</c:v>
                </c:pt>
                <c:pt idx="546">
                  <c:v>8.0000000000000004E-4</c:v>
                </c:pt>
                <c:pt idx="547">
                  <c:v>8.0000000000000004E-4</c:v>
                </c:pt>
                <c:pt idx="548">
                  <c:v>8.0000000000000004E-4</c:v>
                </c:pt>
                <c:pt idx="549">
                  <c:v>8.0000000000000004E-4</c:v>
                </c:pt>
                <c:pt idx="550">
                  <c:v>8.0000000000000004E-4</c:v>
                </c:pt>
                <c:pt idx="551">
                  <c:v>8.0000000000000004E-4</c:v>
                </c:pt>
                <c:pt idx="552">
                  <c:v>8.0000000000000004E-4</c:v>
                </c:pt>
                <c:pt idx="553">
                  <c:v>8.0000000000000004E-4</c:v>
                </c:pt>
                <c:pt idx="554">
                  <c:v>8.0000000000000004E-4</c:v>
                </c:pt>
                <c:pt idx="555">
                  <c:v>8.0000000000000004E-4</c:v>
                </c:pt>
                <c:pt idx="556">
                  <c:v>8.0000000000000004E-4</c:v>
                </c:pt>
                <c:pt idx="557">
                  <c:v>8.0000000000000004E-4</c:v>
                </c:pt>
                <c:pt idx="558">
                  <c:v>8.0000000000000004E-4</c:v>
                </c:pt>
                <c:pt idx="559">
                  <c:v>8.0000000000000004E-4</c:v>
                </c:pt>
                <c:pt idx="560">
                  <c:v>8.0000000000000004E-4</c:v>
                </c:pt>
                <c:pt idx="561">
                  <c:v>8.0000000000000004E-4</c:v>
                </c:pt>
                <c:pt idx="562">
                  <c:v>8.0000000000000004E-4</c:v>
                </c:pt>
                <c:pt idx="563">
                  <c:v>8.0000000000000004E-4</c:v>
                </c:pt>
                <c:pt idx="564">
                  <c:v>8.0000000000000004E-4</c:v>
                </c:pt>
                <c:pt idx="565">
                  <c:v>8.0000000000000004E-4</c:v>
                </c:pt>
                <c:pt idx="566">
                  <c:v>8.0000000000000004E-4</c:v>
                </c:pt>
                <c:pt idx="567">
                  <c:v>8.0000000000000004E-4</c:v>
                </c:pt>
                <c:pt idx="568">
                  <c:v>8.0000000000000004E-4</c:v>
                </c:pt>
                <c:pt idx="569">
                  <c:v>8.0000000000000004E-4</c:v>
                </c:pt>
                <c:pt idx="570">
                  <c:v>8.0000000000000004E-4</c:v>
                </c:pt>
                <c:pt idx="571">
                  <c:v>8.0000000000000004E-4</c:v>
                </c:pt>
                <c:pt idx="572">
                  <c:v>8.0000000000000004E-4</c:v>
                </c:pt>
                <c:pt idx="573">
                  <c:v>8.0000000000000004E-4</c:v>
                </c:pt>
                <c:pt idx="574">
                  <c:v>8.0000000000000004E-4</c:v>
                </c:pt>
                <c:pt idx="575">
                  <c:v>8.0000000000000004E-4</c:v>
                </c:pt>
                <c:pt idx="576">
                  <c:v>8.0000000000000004E-4</c:v>
                </c:pt>
                <c:pt idx="577">
                  <c:v>8.0000000000000004E-4</c:v>
                </c:pt>
                <c:pt idx="578">
                  <c:v>8.0000000000000004E-4</c:v>
                </c:pt>
                <c:pt idx="579">
                  <c:v>8.0000000000000004E-4</c:v>
                </c:pt>
                <c:pt idx="580">
                  <c:v>8.0000000000000004E-4</c:v>
                </c:pt>
                <c:pt idx="581">
                  <c:v>8.0000000000000004E-4</c:v>
                </c:pt>
                <c:pt idx="582">
                  <c:v>8.0000000000000004E-4</c:v>
                </c:pt>
                <c:pt idx="583">
                  <c:v>8.0000000000000004E-4</c:v>
                </c:pt>
                <c:pt idx="584">
                  <c:v>8.0000000000000004E-4</c:v>
                </c:pt>
                <c:pt idx="585">
                  <c:v>8.0000000000000004E-4</c:v>
                </c:pt>
                <c:pt idx="586">
                  <c:v>8.0000000000000004E-4</c:v>
                </c:pt>
                <c:pt idx="587">
                  <c:v>8.0000000000000004E-4</c:v>
                </c:pt>
                <c:pt idx="588">
                  <c:v>8.0000000000000004E-4</c:v>
                </c:pt>
                <c:pt idx="589">
                  <c:v>8.0000000000000004E-4</c:v>
                </c:pt>
                <c:pt idx="590">
                  <c:v>8.0000000000000004E-4</c:v>
                </c:pt>
                <c:pt idx="591">
                  <c:v>8.0000000000000004E-4</c:v>
                </c:pt>
                <c:pt idx="592">
                  <c:v>8.0000000000000004E-4</c:v>
                </c:pt>
                <c:pt idx="593">
                  <c:v>8.0000000000000004E-4</c:v>
                </c:pt>
                <c:pt idx="594">
                  <c:v>8.0000000000000004E-4</c:v>
                </c:pt>
                <c:pt idx="595">
                  <c:v>8.0000000000000004E-4</c:v>
                </c:pt>
                <c:pt idx="596">
                  <c:v>8.0000000000000004E-4</c:v>
                </c:pt>
                <c:pt idx="597">
                  <c:v>8.0000000000000004E-4</c:v>
                </c:pt>
                <c:pt idx="598">
                  <c:v>8.0000000000000004E-4</c:v>
                </c:pt>
                <c:pt idx="599">
                  <c:v>8.0000000000000004E-4</c:v>
                </c:pt>
                <c:pt idx="600">
                  <c:v>8.0000000000000004E-4</c:v>
                </c:pt>
                <c:pt idx="601">
                  <c:v>8.0000000000000004E-4</c:v>
                </c:pt>
                <c:pt idx="602">
                  <c:v>8.0000000000000004E-4</c:v>
                </c:pt>
                <c:pt idx="603">
                  <c:v>8.0000000000000004E-4</c:v>
                </c:pt>
                <c:pt idx="604">
                  <c:v>8.9999999999999998E-4</c:v>
                </c:pt>
                <c:pt idx="605">
                  <c:v>8.9999999999999998E-4</c:v>
                </c:pt>
                <c:pt idx="606">
                  <c:v>8.9999999999999998E-4</c:v>
                </c:pt>
                <c:pt idx="607">
                  <c:v>8.9999999999999998E-4</c:v>
                </c:pt>
                <c:pt idx="608">
                  <c:v>8.9999999999999998E-4</c:v>
                </c:pt>
                <c:pt idx="609">
                  <c:v>8.9999999999999998E-4</c:v>
                </c:pt>
                <c:pt idx="610">
                  <c:v>8.9999999999999998E-4</c:v>
                </c:pt>
                <c:pt idx="611">
                  <c:v>8.9999999999999998E-4</c:v>
                </c:pt>
                <c:pt idx="612">
                  <c:v>8.9999999999999998E-4</c:v>
                </c:pt>
                <c:pt idx="613">
                  <c:v>8.9999999999999998E-4</c:v>
                </c:pt>
                <c:pt idx="614">
                  <c:v>8.9999999999999998E-4</c:v>
                </c:pt>
                <c:pt idx="615">
                  <c:v>8.9999999999999998E-4</c:v>
                </c:pt>
                <c:pt idx="616">
                  <c:v>8.9999999999999998E-4</c:v>
                </c:pt>
                <c:pt idx="617">
                  <c:v>8.9999999999999998E-4</c:v>
                </c:pt>
                <c:pt idx="618">
                  <c:v>8.9999999999999998E-4</c:v>
                </c:pt>
                <c:pt idx="619">
                  <c:v>8.9999999999999998E-4</c:v>
                </c:pt>
                <c:pt idx="620">
                  <c:v>8.9999999999999998E-4</c:v>
                </c:pt>
                <c:pt idx="621">
                  <c:v>8.9999999999999998E-4</c:v>
                </c:pt>
                <c:pt idx="622">
                  <c:v>8.9999999999999998E-4</c:v>
                </c:pt>
                <c:pt idx="623">
                  <c:v>8.9999999999999998E-4</c:v>
                </c:pt>
                <c:pt idx="624">
                  <c:v>8.9999999999999998E-4</c:v>
                </c:pt>
                <c:pt idx="625">
                  <c:v>8.9999999999999998E-4</c:v>
                </c:pt>
                <c:pt idx="626">
                  <c:v>8.9999999999999998E-4</c:v>
                </c:pt>
                <c:pt idx="627">
                  <c:v>8.9999999999999998E-4</c:v>
                </c:pt>
                <c:pt idx="628">
                  <c:v>8.9999999999999998E-4</c:v>
                </c:pt>
                <c:pt idx="629">
                  <c:v>8.9999999999999998E-4</c:v>
                </c:pt>
                <c:pt idx="630">
                  <c:v>8.9999999999999998E-4</c:v>
                </c:pt>
                <c:pt idx="631">
                  <c:v>8.9999999999999998E-4</c:v>
                </c:pt>
                <c:pt idx="632">
                  <c:v>8.9999999999999998E-4</c:v>
                </c:pt>
                <c:pt idx="633">
                  <c:v>1E-3</c:v>
                </c:pt>
                <c:pt idx="634">
                  <c:v>1E-3</c:v>
                </c:pt>
                <c:pt idx="635">
                  <c:v>1E-3</c:v>
                </c:pt>
                <c:pt idx="636">
                  <c:v>8.9999999999999998E-4</c:v>
                </c:pt>
                <c:pt idx="637">
                  <c:v>8.9999999999999998E-4</c:v>
                </c:pt>
                <c:pt idx="638">
                  <c:v>8.9999999999999998E-4</c:v>
                </c:pt>
                <c:pt idx="639">
                  <c:v>8.9999999999999998E-4</c:v>
                </c:pt>
                <c:pt idx="640">
                  <c:v>8.9999999999999998E-4</c:v>
                </c:pt>
                <c:pt idx="641">
                  <c:v>8.9999999999999998E-4</c:v>
                </c:pt>
                <c:pt idx="642">
                  <c:v>8.9999999999999998E-4</c:v>
                </c:pt>
                <c:pt idx="643">
                  <c:v>8.9999999999999998E-4</c:v>
                </c:pt>
                <c:pt idx="644">
                  <c:v>1E-3</c:v>
                </c:pt>
                <c:pt idx="645">
                  <c:v>1E-3</c:v>
                </c:pt>
                <c:pt idx="646">
                  <c:v>1E-3</c:v>
                </c:pt>
                <c:pt idx="647">
                  <c:v>1E-3</c:v>
                </c:pt>
                <c:pt idx="648">
                  <c:v>1E-3</c:v>
                </c:pt>
                <c:pt idx="649">
                  <c:v>1E-3</c:v>
                </c:pt>
                <c:pt idx="650">
                  <c:v>1E-3</c:v>
                </c:pt>
                <c:pt idx="651">
                  <c:v>1E-3</c:v>
                </c:pt>
                <c:pt idx="652">
                  <c:v>1E-3</c:v>
                </c:pt>
                <c:pt idx="653">
                  <c:v>1E-3</c:v>
                </c:pt>
                <c:pt idx="654">
                  <c:v>1E-3</c:v>
                </c:pt>
                <c:pt idx="655">
                  <c:v>1.1000000000000001E-3</c:v>
                </c:pt>
                <c:pt idx="656">
                  <c:v>1.1000000000000001E-3</c:v>
                </c:pt>
                <c:pt idx="657">
                  <c:v>1.1000000000000001E-3</c:v>
                </c:pt>
                <c:pt idx="658">
                  <c:v>1.1000000000000001E-3</c:v>
                </c:pt>
                <c:pt idx="659">
                  <c:v>1.1000000000000001E-3</c:v>
                </c:pt>
                <c:pt idx="660">
                  <c:v>1.1000000000000001E-3</c:v>
                </c:pt>
                <c:pt idx="661">
                  <c:v>1.1000000000000001E-3</c:v>
                </c:pt>
                <c:pt idx="662">
                  <c:v>1.1000000000000001E-3</c:v>
                </c:pt>
                <c:pt idx="663">
                  <c:v>1.1000000000000001E-3</c:v>
                </c:pt>
                <c:pt idx="664">
                  <c:v>1.1000000000000001E-3</c:v>
                </c:pt>
                <c:pt idx="665">
                  <c:v>1.1000000000000001E-3</c:v>
                </c:pt>
                <c:pt idx="666">
                  <c:v>1.1999999999999999E-3</c:v>
                </c:pt>
                <c:pt idx="667">
                  <c:v>1.1999999999999999E-3</c:v>
                </c:pt>
                <c:pt idx="668">
                  <c:v>1.1999999999999999E-3</c:v>
                </c:pt>
                <c:pt idx="669">
                  <c:v>1.1999999999999999E-3</c:v>
                </c:pt>
                <c:pt idx="670">
                  <c:v>1.1999999999999999E-3</c:v>
                </c:pt>
                <c:pt idx="671">
                  <c:v>1.1999999999999999E-3</c:v>
                </c:pt>
                <c:pt idx="672">
                  <c:v>1.1999999999999999E-3</c:v>
                </c:pt>
                <c:pt idx="673">
                  <c:v>1.1999999999999999E-3</c:v>
                </c:pt>
                <c:pt idx="674">
                  <c:v>1.1999999999999999E-3</c:v>
                </c:pt>
                <c:pt idx="675">
                  <c:v>1.2999999999999999E-3</c:v>
                </c:pt>
                <c:pt idx="676">
                  <c:v>1.2999999999999999E-3</c:v>
                </c:pt>
                <c:pt idx="677">
                  <c:v>1.2999999999999999E-3</c:v>
                </c:pt>
                <c:pt idx="678">
                  <c:v>1.2999999999999999E-3</c:v>
                </c:pt>
                <c:pt idx="679">
                  <c:v>1.2999999999999999E-3</c:v>
                </c:pt>
                <c:pt idx="680">
                  <c:v>1.2999999999999999E-3</c:v>
                </c:pt>
                <c:pt idx="681">
                  <c:v>1.2999999999999999E-3</c:v>
                </c:pt>
                <c:pt idx="682">
                  <c:v>1.2999999999999999E-3</c:v>
                </c:pt>
                <c:pt idx="683">
                  <c:v>1.4E-3</c:v>
                </c:pt>
                <c:pt idx="684">
                  <c:v>1.4E-3</c:v>
                </c:pt>
                <c:pt idx="685">
                  <c:v>1.4E-3</c:v>
                </c:pt>
                <c:pt idx="686">
                  <c:v>1.5E-3</c:v>
                </c:pt>
                <c:pt idx="687">
                  <c:v>1.5E-3</c:v>
                </c:pt>
                <c:pt idx="688">
                  <c:v>1.5E-3</c:v>
                </c:pt>
                <c:pt idx="689">
                  <c:v>1.6000000000000001E-3</c:v>
                </c:pt>
                <c:pt idx="690">
                  <c:v>1.6000000000000001E-3</c:v>
                </c:pt>
                <c:pt idx="691">
                  <c:v>1.6000000000000001E-3</c:v>
                </c:pt>
                <c:pt idx="692">
                  <c:v>1.6999999999999999E-3</c:v>
                </c:pt>
                <c:pt idx="693">
                  <c:v>1.6999999999999999E-3</c:v>
                </c:pt>
                <c:pt idx="694">
                  <c:v>1.6999999999999999E-3</c:v>
                </c:pt>
                <c:pt idx="695">
                  <c:v>1.6999999999999999E-3</c:v>
                </c:pt>
                <c:pt idx="696">
                  <c:v>1.6999999999999999E-3</c:v>
                </c:pt>
                <c:pt idx="697">
                  <c:v>1.6999999999999999E-3</c:v>
                </c:pt>
                <c:pt idx="698">
                  <c:v>1.8E-3</c:v>
                </c:pt>
                <c:pt idx="699">
                  <c:v>1.8E-3</c:v>
                </c:pt>
                <c:pt idx="700">
                  <c:v>1.9E-3</c:v>
                </c:pt>
                <c:pt idx="701">
                  <c:v>1.9E-3</c:v>
                </c:pt>
                <c:pt idx="702">
                  <c:v>1.9E-3</c:v>
                </c:pt>
                <c:pt idx="703">
                  <c:v>1.9E-3</c:v>
                </c:pt>
                <c:pt idx="704">
                  <c:v>2E-3</c:v>
                </c:pt>
                <c:pt idx="705">
                  <c:v>2E-3</c:v>
                </c:pt>
                <c:pt idx="706">
                  <c:v>2.0999999999999999E-3</c:v>
                </c:pt>
                <c:pt idx="707">
                  <c:v>2.0999999999999999E-3</c:v>
                </c:pt>
                <c:pt idx="708">
                  <c:v>2.2000000000000001E-3</c:v>
                </c:pt>
                <c:pt idx="709">
                  <c:v>2.2000000000000001E-3</c:v>
                </c:pt>
                <c:pt idx="710">
                  <c:v>2.3E-3</c:v>
                </c:pt>
                <c:pt idx="711">
                  <c:v>2.2000000000000001E-3</c:v>
                </c:pt>
                <c:pt idx="712">
                  <c:v>2.3E-3</c:v>
                </c:pt>
                <c:pt idx="713">
                  <c:v>2.3E-3</c:v>
                </c:pt>
                <c:pt idx="714">
                  <c:v>2.3999999999999998E-3</c:v>
                </c:pt>
                <c:pt idx="715">
                  <c:v>2.3999999999999998E-3</c:v>
                </c:pt>
                <c:pt idx="716">
                  <c:v>2.5000000000000001E-3</c:v>
                </c:pt>
                <c:pt idx="717">
                  <c:v>2.5000000000000001E-3</c:v>
                </c:pt>
                <c:pt idx="718">
                  <c:v>2.5000000000000001E-3</c:v>
                </c:pt>
                <c:pt idx="719">
                  <c:v>2.5000000000000001E-3</c:v>
                </c:pt>
                <c:pt idx="720">
                  <c:v>2.5999999999999999E-3</c:v>
                </c:pt>
                <c:pt idx="721">
                  <c:v>2.7000000000000001E-3</c:v>
                </c:pt>
                <c:pt idx="722">
                  <c:v>2.5999999999999999E-3</c:v>
                </c:pt>
                <c:pt idx="723">
                  <c:v>2.7000000000000001E-3</c:v>
                </c:pt>
                <c:pt idx="724">
                  <c:v>2.7000000000000001E-3</c:v>
                </c:pt>
                <c:pt idx="725">
                  <c:v>2.8E-3</c:v>
                </c:pt>
                <c:pt idx="726">
                  <c:v>2.7000000000000001E-3</c:v>
                </c:pt>
                <c:pt idx="727">
                  <c:v>2.8E-3</c:v>
                </c:pt>
                <c:pt idx="728">
                  <c:v>2.8E-3</c:v>
                </c:pt>
                <c:pt idx="729">
                  <c:v>2.8999999999999998E-3</c:v>
                </c:pt>
                <c:pt idx="730">
                  <c:v>2.8999999999999998E-3</c:v>
                </c:pt>
                <c:pt idx="731">
                  <c:v>2.8999999999999998E-3</c:v>
                </c:pt>
                <c:pt idx="732">
                  <c:v>3.0000000000000001E-3</c:v>
                </c:pt>
                <c:pt idx="733">
                  <c:v>3.0999999999999999E-3</c:v>
                </c:pt>
                <c:pt idx="734">
                  <c:v>3.0999999999999999E-3</c:v>
                </c:pt>
                <c:pt idx="735">
                  <c:v>3.0999999999999999E-3</c:v>
                </c:pt>
                <c:pt idx="736">
                  <c:v>3.0999999999999999E-3</c:v>
                </c:pt>
                <c:pt idx="737">
                  <c:v>3.2000000000000002E-3</c:v>
                </c:pt>
                <c:pt idx="738">
                  <c:v>3.3E-3</c:v>
                </c:pt>
                <c:pt idx="739">
                  <c:v>3.2000000000000002E-3</c:v>
                </c:pt>
                <c:pt idx="740">
                  <c:v>3.3E-3</c:v>
                </c:pt>
                <c:pt idx="741">
                  <c:v>3.3999999999999998E-3</c:v>
                </c:pt>
                <c:pt idx="742">
                  <c:v>3.3999999999999998E-3</c:v>
                </c:pt>
                <c:pt idx="743">
                  <c:v>3.3999999999999998E-3</c:v>
                </c:pt>
                <c:pt idx="744">
                  <c:v>3.5000000000000001E-3</c:v>
                </c:pt>
                <c:pt idx="745">
                  <c:v>3.5000000000000001E-3</c:v>
                </c:pt>
                <c:pt idx="746">
                  <c:v>3.5999999999999999E-3</c:v>
                </c:pt>
                <c:pt idx="747">
                  <c:v>3.5999999999999999E-3</c:v>
                </c:pt>
                <c:pt idx="748">
                  <c:v>3.7000000000000002E-3</c:v>
                </c:pt>
                <c:pt idx="749">
                  <c:v>3.7000000000000002E-3</c:v>
                </c:pt>
                <c:pt idx="750">
                  <c:v>3.7000000000000002E-3</c:v>
                </c:pt>
                <c:pt idx="751">
                  <c:v>3.8E-3</c:v>
                </c:pt>
                <c:pt idx="752">
                  <c:v>3.8999999999999998E-3</c:v>
                </c:pt>
                <c:pt idx="753">
                  <c:v>3.8999999999999998E-3</c:v>
                </c:pt>
                <c:pt idx="754">
                  <c:v>3.8999999999999998E-3</c:v>
                </c:pt>
                <c:pt idx="755">
                  <c:v>4.0000000000000001E-3</c:v>
                </c:pt>
                <c:pt idx="756">
                  <c:v>4.1000000000000003E-3</c:v>
                </c:pt>
                <c:pt idx="757">
                  <c:v>4.0000000000000001E-3</c:v>
                </c:pt>
                <c:pt idx="758">
                  <c:v>4.1000000000000003E-3</c:v>
                </c:pt>
                <c:pt idx="759">
                  <c:v>4.1999999999999997E-3</c:v>
                </c:pt>
                <c:pt idx="760">
                  <c:v>4.1999999999999997E-3</c:v>
                </c:pt>
                <c:pt idx="761">
                  <c:v>4.3E-3</c:v>
                </c:pt>
                <c:pt idx="762">
                  <c:v>4.3E-3</c:v>
                </c:pt>
                <c:pt idx="763">
                  <c:v>4.3E-3</c:v>
                </c:pt>
                <c:pt idx="764">
                  <c:v>4.4000000000000003E-3</c:v>
                </c:pt>
                <c:pt idx="765">
                  <c:v>4.4000000000000003E-3</c:v>
                </c:pt>
                <c:pt idx="766">
                  <c:v>4.4999999999999997E-3</c:v>
                </c:pt>
                <c:pt idx="767">
                  <c:v>4.4999999999999997E-3</c:v>
                </c:pt>
                <c:pt idx="768">
                  <c:v>4.5999999999999999E-3</c:v>
                </c:pt>
                <c:pt idx="769">
                  <c:v>4.7000000000000002E-3</c:v>
                </c:pt>
                <c:pt idx="770">
                  <c:v>4.7000000000000002E-3</c:v>
                </c:pt>
                <c:pt idx="771">
                  <c:v>4.7999999999999996E-3</c:v>
                </c:pt>
                <c:pt idx="772">
                  <c:v>4.7999999999999996E-3</c:v>
                </c:pt>
                <c:pt idx="773">
                  <c:v>4.8999999999999998E-3</c:v>
                </c:pt>
                <c:pt idx="774">
                  <c:v>4.8999999999999998E-3</c:v>
                </c:pt>
                <c:pt idx="775">
                  <c:v>5.0000000000000001E-3</c:v>
                </c:pt>
                <c:pt idx="776">
                  <c:v>5.0000000000000001E-3</c:v>
                </c:pt>
                <c:pt idx="777">
                  <c:v>5.1000000000000004E-3</c:v>
                </c:pt>
                <c:pt idx="778">
                  <c:v>5.1000000000000004E-3</c:v>
                </c:pt>
                <c:pt idx="779">
                  <c:v>5.1999999999999998E-3</c:v>
                </c:pt>
                <c:pt idx="780">
                  <c:v>5.1999999999999998E-3</c:v>
                </c:pt>
                <c:pt idx="781">
                  <c:v>5.3E-3</c:v>
                </c:pt>
                <c:pt idx="782">
                  <c:v>5.3E-3</c:v>
                </c:pt>
                <c:pt idx="783">
                  <c:v>5.4000000000000003E-3</c:v>
                </c:pt>
                <c:pt idx="784">
                  <c:v>5.4000000000000003E-3</c:v>
                </c:pt>
                <c:pt idx="785">
                  <c:v>5.4000000000000003E-3</c:v>
                </c:pt>
                <c:pt idx="786">
                  <c:v>5.4999999999999997E-3</c:v>
                </c:pt>
                <c:pt idx="787">
                  <c:v>5.4999999999999997E-3</c:v>
                </c:pt>
                <c:pt idx="788">
                  <c:v>5.4999999999999997E-3</c:v>
                </c:pt>
                <c:pt idx="789">
                  <c:v>5.4999999999999997E-3</c:v>
                </c:pt>
                <c:pt idx="790">
                  <c:v>5.4999999999999997E-3</c:v>
                </c:pt>
                <c:pt idx="791">
                  <c:v>5.4000000000000003E-3</c:v>
                </c:pt>
                <c:pt idx="792">
                  <c:v>5.4999999999999997E-3</c:v>
                </c:pt>
                <c:pt idx="793">
                  <c:v>5.4999999999999997E-3</c:v>
                </c:pt>
                <c:pt idx="794">
                  <c:v>5.4000000000000003E-3</c:v>
                </c:pt>
                <c:pt idx="795">
                  <c:v>5.4999999999999997E-3</c:v>
                </c:pt>
                <c:pt idx="796">
                  <c:v>5.4999999999999997E-3</c:v>
                </c:pt>
                <c:pt idx="797">
                  <c:v>5.4000000000000003E-3</c:v>
                </c:pt>
                <c:pt idx="798">
                  <c:v>5.4000000000000003E-3</c:v>
                </c:pt>
                <c:pt idx="799">
                  <c:v>5.4999999999999997E-3</c:v>
                </c:pt>
                <c:pt idx="800">
                  <c:v>5.4000000000000003E-3</c:v>
                </c:pt>
                <c:pt idx="801">
                  <c:v>5.4000000000000003E-3</c:v>
                </c:pt>
                <c:pt idx="802">
                  <c:v>5.3E-3</c:v>
                </c:pt>
                <c:pt idx="803">
                  <c:v>5.4000000000000003E-3</c:v>
                </c:pt>
                <c:pt idx="804">
                  <c:v>5.4000000000000003E-3</c:v>
                </c:pt>
                <c:pt idx="805">
                  <c:v>5.3E-3</c:v>
                </c:pt>
                <c:pt idx="806">
                  <c:v>5.3E-3</c:v>
                </c:pt>
                <c:pt idx="807">
                  <c:v>5.4000000000000003E-3</c:v>
                </c:pt>
                <c:pt idx="808">
                  <c:v>5.3E-3</c:v>
                </c:pt>
                <c:pt idx="809">
                  <c:v>5.3E-3</c:v>
                </c:pt>
                <c:pt idx="810">
                  <c:v>5.3E-3</c:v>
                </c:pt>
                <c:pt idx="811">
                  <c:v>5.3E-3</c:v>
                </c:pt>
                <c:pt idx="812">
                  <c:v>5.3E-3</c:v>
                </c:pt>
                <c:pt idx="813">
                  <c:v>5.1999999999999998E-3</c:v>
                </c:pt>
                <c:pt idx="814">
                  <c:v>5.1999999999999998E-3</c:v>
                </c:pt>
                <c:pt idx="815">
                  <c:v>5.1999999999999998E-3</c:v>
                </c:pt>
                <c:pt idx="816">
                  <c:v>5.1999999999999998E-3</c:v>
                </c:pt>
                <c:pt idx="817">
                  <c:v>5.1000000000000004E-3</c:v>
                </c:pt>
                <c:pt idx="818">
                  <c:v>5.0000000000000001E-3</c:v>
                </c:pt>
                <c:pt idx="819">
                  <c:v>5.0000000000000001E-3</c:v>
                </c:pt>
                <c:pt idx="820">
                  <c:v>5.0000000000000001E-3</c:v>
                </c:pt>
                <c:pt idx="821">
                  <c:v>4.8999999999999998E-3</c:v>
                </c:pt>
                <c:pt idx="822">
                  <c:v>4.8999999999999998E-3</c:v>
                </c:pt>
                <c:pt idx="823">
                  <c:v>4.8999999999999998E-3</c:v>
                </c:pt>
                <c:pt idx="824">
                  <c:v>4.8999999999999998E-3</c:v>
                </c:pt>
                <c:pt idx="825">
                  <c:v>4.7999999999999996E-3</c:v>
                </c:pt>
                <c:pt idx="826">
                  <c:v>4.7999999999999996E-3</c:v>
                </c:pt>
                <c:pt idx="827">
                  <c:v>4.7999999999999996E-3</c:v>
                </c:pt>
                <c:pt idx="828">
                  <c:v>4.7999999999999996E-3</c:v>
                </c:pt>
                <c:pt idx="829">
                  <c:v>4.5999999999999999E-3</c:v>
                </c:pt>
                <c:pt idx="830">
                  <c:v>4.5999999999999999E-3</c:v>
                </c:pt>
                <c:pt idx="831">
                  <c:v>4.5999999999999999E-3</c:v>
                </c:pt>
                <c:pt idx="832">
                  <c:v>4.4999999999999997E-3</c:v>
                </c:pt>
                <c:pt idx="833">
                  <c:v>4.4999999999999997E-3</c:v>
                </c:pt>
                <c:pt idx="834">
                  <c:v>4.4999999999999997E-3</c:v>
                </c:pt>
                <c:pt idx="835">
                  <c:v>4.4999999999999997E-3</c:v>
                </c:pt>
                <c:pt idx="836">
                  <c:v>4.4000000000000003E-3</c:v>
                </c:pt>
                <c:pt idx="837">
                  <c:v>4.4000000000000003E-3</c:v>
                </c:pt>
                <c:pt idx="838">
                  <c:v>4.4000000000000003E-3</c:v>
                </c:pt>
                <c:pt idx="839">
                  <c:v>4.1999999999999997E-3</c:v>
                </c:pt>
                <c:pt idx="840">
                  <c:v>4.1999999999999997E-3</c:v>
                </c:pt>
                <c:pt idx="841">
                  <c:v>4.1000000000000003E-3</c:v>
                </c:pt>
                <c:pt idx="842">
                  <c:v>4.1000000000000003E-3</c:v>
                </c:pt>
                <c:pt idx="843">
                  <c:v>4.0000000000000001E-3</c:v>
                </c:pt>
                <c:pt idx="844">
                  <c:v>3.8999999999999998E-3</c:v>
                </c:pt>
                <c:pt idx="845">
                  <c:v>4.0000000000000001E-3</c:v>
                </c:pt>
                <c:pt idx="846">
                  <c:v>3.8999999999999998E-3</c:v>
                </c:pt>
                <c:pt idx="847">
                  <c:v>3.8E-3</c:v>
                </c:pt>
                <c:pt idx="848">
                  <c:v>3.8E-3</c:v>
                </c:pt>
                <c:pt idx="849">
                  <c:v>3.7000000000000002E-3</c:v>
                </c:pt>
                <c:pt idx="850">
                  <c:v>3.5999999999999999E-3</c:v>
                </c:pt>
                <c:pt idx="851">
                  <c:v>3.5999999999999999E-3</c:v>
                </c:pt>
                <c:pt idx="852">
                  <c:v>3.5000000000000001E-3</c:v>
                </c:pt>
                <c:pt idx="853">
                  <c:v>3.3999999999999998E-3</c:v>
                </c:pt>
                <c:pt idx="854">
                  <c:v>3.3999999999999998E-3</c:v>
                </c:pt>
                <c:pt idx="855">
                  <c:v>3.3E-3</c:v>
                </c:pt>
                <c:pt idx="856">
                  <c:v>3.2000000000000002E-3</c:v>
                </c:pt>
                <c:pt idx="857">
                  <c:v>3.2000000000000002E-3</c:v>
                </c:pt>
                <c:pt idx="858">
                  <c:v>3.0999999999999999E-3</c:v>
                </c:pt>
                <c:pt idx="859">
                  <c:v>3.0999999999999999E-3</c:v>
                </c:pt>
                <c:pt idx="860">
                  <c:v>3.0000000000000001E-3</c:v>
                </c:pt>
                <c:pt idx="861">
                  <c:v>3.0000000000000001E-3</c:v>
                </c:pt>
                <c:pt idx="862">
                  <c:v>2.8999999999999998E-3</c:v>
                </c:pt>
                <c:pt idx="863">
                  <c:v>2.8E-3</c:v>
                </c:pt>
                <c:pt idx="864">
                  <c:v>2.8E-3</c:v>
                </c:pt>
                <c:pt idx="865">
                  <c:v>2.7000000000000001E-3</c:v>
                </c:pt>
                <c:pt idx="866">
                  <c:v>2.7000000000000001E-3</c:v>
                </c:pt>
                <c:pt idx="867">
                  <c:v>2.5999999999999999E-3</c:v>
                </c:pt>
                <c:pt idx="868">
                  <c:v>2.5999999999999999E-3</c:v>
                </c:pt>
                <c:pt idx="869">
                  <c:v>2.5000000000000001E-3</c:v>
                </c:pt>
                <c:pt idx="870">
                  <c:v>2.5000000000000001E-3</c:v>
                </c:pt>
                <c:pt idx="871">
                  <c:v>2.3E-3</c:v>
                </c:pt>
                <c:pt idx="872">
                  <c:v>2.3E-3</c:v>
                </c:pt>
                <c:pt idx="873">
                  <c:v>2.2000000000000001E-3</c:v>
                </c:pt>
                <c:pt idx="874">
                  <c:v>2.2000000000000001E-3</c:v>
                </c:pt>
                <c:pt idx="875">
                  <c:v>2.2000000000000001E-3</c:v>
                </c:pt>
                <c:pt idx="876">
                  <c:v>2.0999999999999999E-3</c:v>
                </c:pt>
                <c:pt idx="877">
                  <c:v>2.0999999999999999E-3</c:v>
                </c:pt>
                <c:pt idx="878">
                  <c:v>2.0999999999999999E-3</c:v>
                </c:pt>
                <c:pt idx="879">
                  <c:v>2E-3</c:v>
                </c:pt>
                <c:pt idx="880">
                  <c:v>2E-3</c:v>
                </c:pt>
                <c:pt idx="881">
                  <c:v>1.8E-3</c:v>
                </c:pt>
                <c:pt idx="882">
                  <c:v>1.8E-3</c:v>
                </c:pt>
                <c:pt idx="883">
                  <c:v>1.8E-3</c:v>
                </c:pt>
                <c:pt idx="884">
                  <c:v>1.6999999999999999E-3</c:v>
                </c:pt>
                <c:pt idx="885">
                  <c:v>1.6999999999999999E-3</c:v>
                </c:pt>
                <c:pt idx="886">
                  <c:v>1.6999999999999999E-3</c:v>
                </c:pt>
                <c:pt idx="887">
                  <c:v>1.6000000000000001E-3</c:v>
                </c:pt>
                <c:pt idx="888">
                  <c:v>1.6000000000000001E-3</c:v>
                </c:pt>
                <c:pt idx="889">
                  <c:v>1.5E-3</c:v>
                </c:pt>
                <c:pt idx="890">
                  <c:v>1.4E-3</c:v>
                </c:pt>
                <c:pt idx="891">
                  <c:v>1.4E-3</c:v>
                </c:pt>
                <c:pt idx="892">
                  <c:v>1.2999999999999999E-3</c:v>
                </c:pt>
                <c:pt idx="893">
                  <c:v>1.2999999999999999E-3</c:v>
                </c:pt>
                <c:pt idx="894">
                  <c:v>1.2999999999999999E-3</c:v>
                </c:pt>
                <c:pt idx="895">
                  <c:v>1.1999999999999999E-3</c:v>
                </c:pt>
                <c:pt idx="896">
                  <c:v>1.1999999999999999E-3</c:v>
                </c:pt>
                <c:pt idx="897">
                  <c:v>1.1999999999999999E-3</c:v>
                </c:pt>
                <c:pt idx="898">
                  <c:v>1E-3</c:v>
                </c:pt>
                <c:pt idx="899">
                  <c:v>1E-3</c:v>
                </c:pt>
                <c:pt idx="900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5-7841-AAC7-A14349083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862768"/>
        <c:axId val="407076864"/>
      </c:scatterChart>
      <c:valAx>
        <c:axId val="406862768"/>
        <c:scaling>
          <c:orientation val="minMax"/>
          <c:max val="1000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Wavelength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76864"/>
        <c:crosses val="autoZero"/>
        <c:crossBetween val="midCat"/>
      </c:valAx>
      <c:valAx>
        <c:axId val="4070768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62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'Filter JPL 7-layer Conservative'!$D$2</c:f>
              <c:strCache>
                <c:ptCount val="1"/>
                <c:pt idx="0">
                  <c:v>T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'Filter JPL 7-layer Conservative'!$A$3:$A$903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xVal>
          <c:yVal>
            <c:numRef>
              <c:f>'Filter JPL 7-layer Conservative'!$D$3:$D$903</c:f>
              <c:numCache>
                <c:formatCode>General</c:formatCode>
                <c:ptCount val="901"/>
                <c:pt idx="0">
                  <c:v>1.2999999999999999E-3</c:v>
                </c:pt>
                <c:pt idx="1">
                  <c:v>2E-3</c:v>
                </c:pt>
                <c:pt idx="2">
                  <c:v>5.7000000000000002E-3</c:v>
                </c:pt>
                <c:pt idx="3">
                  <c:v>1.44E-2</c:v>
                </c:pt>
                <c:pt idx="4">
                  <c:v>3.04E-2</c:v>
                </c:pt>
                <c:pt idx="5">
                  <c:v>6.3200000000000006E-2</c:v>
                </c:pt>
                <c:pt idx="6">
                  <c:v>0.13120000000000001</c:v>
                </c:pt>
                <c:pt idx="7">
                  <c:v>0.24060000000000001</c:v>
                </c:pt>
                <c:pt idx="8">
                  <c:v>0.33489999999999998</c:v>
                </c:pt>
                <c:pt idx="9">
                  <c:v>0.46689999999999998</c:v>
                </c:pt>
                <c:pt idx="10">
                  <c:v>0.65490000000000004</c:v>
                </c:pt>
                <c:pt idx="11">
                  <c:v>0.61299999999999999</c:v>
                </c:pt>
                <c:pt idx="12">
                  <c:v>0.53590000000000004</c:v>
                </c:pt>
                <c:pt idx="13">
                  <c:v>0.44259999999999999</c:v>
                </c:pt>
                <c:pt idx="14">
                  <c:v>0.34389999999999998</c:v>
                </c:pt>
                <c:pt idx="15">
                  <c:v>0.26869999999999999</c:v>
                </c:pt>
                <c:pt idx="16">
                  <c:v>0.22040000000000001</c:v>
                </c:pt>
                <c:pt idx="17">
                  <c:v>0.2001</c:v>
                </c:pt>
                <c:pt idx="18">
                  <c:v>0.18790000000000001</c:v>
                </c:pt>
                <c:pt idx="19">
                  <c:v>0.17979999999999999</c:v>
                </c:pt>
                <c:pt idx="20">
                  <c:v>0.17549999999999999</c:v>
                </c:pt>
                <c:pt idx="21">
                  <c:v>0.17380000000000001</c:v>
                </c:pt>
                <c:pt idx="22">
                  <c:v>0.17560000000000001</c:v>
                </c:pt>
                <c:pt idx="23">
                  <c:v>0.182</c:v>
                </c:pt>
                <c:pt idx="24">
                  <c:v>0.1946</c:v>
                </c:pt>
                <c:pt idx="25">
                  <c:v>0.21540000000000001</c:v>
                </c:pt>
                <c:pt idx="26">
                  <c:v>0.24529999999999999</c:v>
                </c:pt>
                <c:pt idx="27">
                  <c:v>0.28799999999999998</c:v>
                </c:pt>
                <c:pt idx="28">
                  <c:v>0.34899999999999998</c:v>
                </c:pt>
                <c:pt idx="29">
                  <c:v>0.43640000000000001</c:v>
                </c:pt>
                <c:pt idx="30">
                  <c:v>0.56369999999999998</c:v>
                </c:pt>
                <c:pt idx="31">
                  <c:v>0.75390000000000001</c:v>
                </c:pt>
                <c:pt idx="32">
                  <c:v>1.0461</c:v>
                </c:pt>
                <c:pt idx="33">
                  <c:v>1.5091000000000001</c:v>
                </c:pt>
                <c:pt idx="34">
                  <c:v>2.0165999999999999</c:v>
                </c:pt>
                <c:pt idx="35">
                  <c:v>2.2955999999999999</c:v>
                </c:pt>
                <c:pt idx="36">
                  <c:v>2.6232000000000002</c:v>
                </c:pt>
                <c:pt idx="37">
                  <c:v>3.0116000000000001</c:v>
                </c:pt>
                <c:pt idx="38">
                  <c:v>3.4748000000000001</c:v>
                </c:pt>
                <c:pt idx="39">
                  <c:v>4.0343</c:v>
                </c:pt>
                <c:pt idx="40">
                  <c:v>4.7024999999999997</c:v>
                </c:pt>
                <c:pt idx="41">
                  <c:v>5.5052000000000003</c:v>
                </c:pt>
                <c:pt idx="42">
                  <c:v>6.4678000000000004</c:v>
                </c:pt>
                <c:pt idx="43">
                  <c:v>7.6241000000000003</c:v>
                </c:pt>
                <c:pt idx="44">
                  <c:v>9.0917999999999992</c:v>
                </c:pt>
                <c:pt idx="45">
                  <c:v>11.012600000000001</c:v>
                </c:pt>
                <c:pt idx="46">
                  <c:v>13.3231</c:v>
                </c:pt>
                <c:pt idx="47">
                  <c:v>16.090399999999999</c:v>
                </c:pt>
                <c:pt idx="48">
                  <c:v>19.309100000000001</c:v>
                </c:pt>
                <c:pt idx="49">
                  <c:v>22.942</c:v>
                </c:pt>
                <c:pt idx="50">
                  <c:v>26.883099999999999</c:v>
                </c:pt>
                <c:pt idx="51">
                  <c:v>30.974399999999999</c:v>
                </c:pt>
                <c:pt idx="52">
                  <c:v>34.964300000000001</c:v>
                </c:pt>
                <c:pt idx="53">
                  <c:v>38.599499999999999</c:v>
                </c:pt>
                <c:pt idx="54">
                  <c:v>41.679900000000004</c:v>
                </c:pt>
                <c:pt idx="55">
                  <c:v>44.751600000000003</c:v>
                </c:pt>
                <c:pt idx="56">
                  <c:v>46.504100000000001</c:v>
                </c:pt>
                <c:pt idx="57">
                  <c:v>46.707700000000003</c:v>
                </c:pt>
                <c:pt idx="58">
                  <c:v>46.348599999999998</c:v>
                </c:pt>
                <c:pt idx="59">
                  <c:v>45.918900000000001</c:v>
                </c:pt>
                <c:pt idx="60">
                  <c:v>45.5</c:v>
                </c:pt>
                <c:pt idx="61">
                  <c:v>44.945999999999998</c:v>
                </c:pt>
                <c:pt idx="62">
                  <c:v>44.373800000000003</c:v>
                </c:pt>
                <c:pt idx="63">
                  <c:v>43.521500000000003</c:v>
                </c:pt>
                <c:pt idx="64">
                  <c:v>42.331699999999998</c:v>
                </c:pt>
                <c:pt idx="65">
                  <c:v>40.773299999999999</c:v>
                </c:pt>
                <c:pt idx="66">
                  <c:v>38.844099999999997</c:v>
                </c:pt>
                <c:pt idx="67">
                  <c:v>36.621699999999997</c:v>
                </c:pt>
                <c:pt idx="68">
                  <c:v>34.192500000000003</c:v>
                </c:pt>
                <c:pt idx="69">
                  <c:v>31.652100000000001</c:v>
                </c:pt>
                <c:pt idx="70">
                  <c:v>29.0991</c:v>
                </c:pt>
                <c:pt idx="71">
                  <c:v>26.634499999999999</c:v>
                </c:pt>
                <c:pt idx="72">
                  <c:v>24.293600000000001</c:v>
                </c:pt>
                <c:pt idx="73">
                  <c:v>22.109000000000002</c:v>
                </c:pt>
                <c:pt idx="74">
                  <c:v>20.104500000000002</c:v>
                </c:pt>
                <c:pt idx="75">
                  <c:v>18.285599999999999</c:v>
                </c:pt>
                <c:pt idx="76">
                  <c:v>16.668199999999999</c:v>
                </c:pt>
                <c:pt idx="77">
                  <c:v>15.2201</c:v>
                </c:pt>
                <c:pt idx="78">
                  <c:v>13.946099999999999</c:v>
                </c:pt>
                <c:pt idx="79">
                  <c:v>12.8124</c:v>
                </c:pt>
                <c:pt idx="80">
                  <c:v>11.8018</c:v>
                </c:pt>
                <c:pt idx="81">
                  <c:v>10.9047</c:v>
                </c:pt>
                <c:pt idx="82">
                  <c:v>10.1021</c:v>
                </c:pt>
                <c:pt idx="83">
                  <c:v>9.3816000000000006</c:v>
                </c:pt>
                <c:pt idx="84">
                  <c:v>8.7344000000000008</c:v>
                </c:pt>
                <c:pt idx="85">
                  <c:v>8.1521000000000008</c:v>
                </c:pt>
                <c:pt idx="86">
                  <c:v>7.6241000000000003</c:v>
                </c:pt>
                <c:pt idx="87">
                  <c:v>7.1421999999999999</c:v>
                </c:pt>
                <c:pt idx="88">
                  <c:v>6.7000999999999999</c:v>
                </c:pt>
                <c:pt idx="89">
                  <c:v>6.2923999999999998</c:v>
                </c:pt>
                <c:pt idx="90">
                  <c:v>5.9145000000000003</c:v>
                </c:pt>
                <c:pt idx="91">
                  <c:v>5.5617999999999999</c:v>
                </c:pt>
                <c:pt idx="92">
                  <c:v>5.2309000000000001</c:v>
                </c:pt>
                <c:pt idx="93">
                  <c:v>4.9195000000000002</c:v>
                </c:pt>
                <c:pt idx="94">
                  <c:v>4.6254</c:v>
                </c:pt>
                <c:pt idx="95">
                  <c:v>4.3467000000000002</c:v>
                </c:pt>
                <c:pt idx="96">
                  <c:v>4.0788000000000002</c:v>
                </c:pt>
                <c:pt idx="97">
                  <c:v>3.8237000000000001</c:v>
                </c:pt>
                <c:pt idx="98">
                  <c:v>3.5806</c:v>
                </c:pt>
                <c:pt idx="99">
                  <c:v>3.3494999999999999</c:v>
                </c:pt>
                <c:pt idx="100">
                  <c:v>3.1295000000000002</c:v>
                </c:pt>
                <c:pt idx="101">
                  <c:v>2.9367999999999999</c:v>
                </c:pt>
                <c:pt idx="102">
                  <c:v>2.7528000000000001</c:v>
                </c:pt>
                <c:pt idx="103">
                  <c:v>2.5771999999999999</c:v>
                </c:pt>
                <c:pt idx="104">
                  <c:v>2.4100999999999999</c:v>
                </c:pt>
                <c:pt idx="105">
                  <c:v>2.2511999999999999</c:v>
                </c:pt>
                <c:pt idx="106">
                  <c:v>2.1015999999999999</c:v>
                </c:pt>
                <c:pt idx="107">
                  <c:v>1.9602999999999999</c:v>
                </c:pt>
                <c:pt idx="108">
                  <c:v>1.8273999999999999</c:v>
                </c:pt>
                <c:pt idx="109">
                  <c:v>1.6998</c:v>
                </c:pt>
                <c:pt idx="110">
                  <c:v>1.5819000000000001</c:v>
                </c:pt>
                <c:pt idx="111">
                  <c:v>1.4688000000000001</c:v>
                </c:pt>
                <c:pt idx="112">
                  <c:v>1.3638999999999999</c:v>
                </c:pt>
                <c:pt idx="113">
                  <c:v>1.2648999999999999</c:v>
                </c:pt>
                <c:pt idx="114">
                  <c:v>1.1731</c:v>
                </c:pt>
                <c:pt idx="115">
                  <c:v>1.0882000000000001</c:v>
                </c:pt>
                <c:pt idx="116">
                  <c:v>1.0109999999999999</c:v>
                </c:pt>
                <c:pt idx="117">
                  <c:v>0.9375</c:v>
                </c:pt>
                <c:pt idx="118">
                  <c:v>0.86909999999999998</c:v>
                </c:pt>
                <c:pt idx="119">
                  <c:v>0.80700000000000005</c:v>
                </c:pt>
                <c:pt idx="120">
                  <c:v>0.75</c:v>
                </c:pt>
                <c:pt idx="121">
                  <c:v>0.69720000000000004</c:v>
                </c:pt>
                <c:pt idx="122">
                  <c:v>0.64959999999999996</c:v>
                </c:pt>
                <c:pt idx="123">
                  <c:v>0.60540000000000005</c:v>
                </c:pt>
                <c:pt idx="124">
                  <c:v>0.56559999999999999</c:v>
                </c:pt>
                <c:pt idx="125">
                  <c:v>0.52900000000000003</c:v>
                </c:pt>
                <c:pt idx="126">
                  <c:v>0.49509999999999998</c:v>
                </c:pt>
                <c:pt idx="127">
                  <c:v>0.46489999999999998</c:v>
                </c:pt>
                <c:pt idx="128">
                  <c:v>0.43830000000000002</c:v>
                </c:pt>
                <c:pt idx="129">
                  <c:v>0.41560000000000002</c:v>
                </c:pt>
                <c:pt idx="130">
                  <c:v>0.39500000000000002</c:v>
                </c:pt>
                <c:pt idx="131">
                  <c:v>0.37630000000000002</c:v>
                </c:pt>
                <c:pt idx="132">
                  <c:v>0.3584</c:v>
                </c:pt>
                <c:pt idx="133">
                  <c:v>0.34129999999999999</c:v>
                </c:pt>
                <c:pt idx="134">
                  <c:v>0.32450000000000001</c:v>
                </c:pt>
                <c:pt idx="135">
                  <c:v>0.30780000000000002</c:v>
                </c:pt>
                <c:pt idx="136">
                  <c:v>0.2913</c:v>
                </c:pt>
                <c:pt idx="137">
                  <c:v>0.27510000000000001</c:v>
                </c:pt>
                <c:pt idx="138">
                  <c:v>0.25919999999999999</c:v>
                </c:pt>
                <c:pt idx="139">
                  <c:v>0.2437</c:v>
                </c:pt>
                <c:pt idx="140">
                  <c:v>0.22889999999999999</c:v>
                </c:pt>
                <c:pt idx="141">
                  <c:v>0.21490000000000001</c:v>
                </c:pt>
                <c:pt idx="142">
                  <c:v>0.20150000000000001</c:v>
                </c:pt>
                <c:pt idx="143">
                  <c:v>0.18870000000000001</c:v>
                </c:pt>
                <c:pt idx="144">
                  <c:v>0.17710000000000001</c:v>
                </c:pt>
                <c:pt idx="145">
                  <c:v>0.1658</c:v>
                </c:pt>
                <c:pt idx="146">
                  <c:v>0.1555</c:v>
                </c:pt>
                <c:pt idx="147">
                  <c:v>0.14580000000000001</c:v>
                </c:pt>
                <c:pt idx="148">
                  <c:v>0.13669999999999999</c:v>
                </c:pt>
                <c:pt idx="149">
                  <c:v>0.1283</c:v>
                </c:pt>
                <c:pt idx="150">
                  <c:v>0.1205</c:v>
                </c:pt>
                <c:pt idx="151">
                  <c:v>0.1129</c:v>
                </c:pt>
                <c:pt idx="152">
                  <c:v>0.106</c:v>
                </c:pt>
                <c:pt idx="153">
                  <c:v>9.9500000000000005E-2</c:v>
                </c:pt>
                <c:pt idx="154">
                  <c:v>9.3799999999999994E-2</c:v>
                </c:pt>
                <c:pt idx="155">
                  <c:v>8.8099999999999998E-2</c:v>
                </c:pt>
                <c:pt idx="156">
                  <c:v>8.3000000000000004E-2</c:v>
                </c:pt>
                <c:pt idx="157">
                  <c:v>7.8100000000000003E-2</c:v>
                </c:pt>
                <c:pt idx="158">
                  <c:v>7.3599999999999999E-2</c:v>
                </c:pt>
                <c:pt idx="159">
                  <c:v>6.9400000000000003E-2</c:v>
                </c:pt>
                <c:pt idx="160">
                  <c:v>6.5500000000000003E-2</c:v>
                </c:pt>
                <c:pt idx="161">
                  <c:v>6.1899999999999997E-2</c:v>
                </c:pt>
                <c:pt idx="162">
                  <c:v>5.8500000000000003E-2</c:v>
                </c:pt>
                <c:pt idx="163">
                  <c:v>5.5300000000000002E-2</c:v>
                </c:pt>
                <c:pt idx="164">
                  <c:v>5.2299999999999999E-2</c:v>
                </c:pt>
                <c:pt idx="165">
                  <c:v>4.9500000000000002E-2</c:v>
                </c:pt>
                <c:pt idx="166">
                  <c:v>4.6899999999999997E-2</c:v>
                </c:pt>
                <c:pt idx="167">
                  <c:v>4.4499999999999998E-2</c:v>
                </c:pt>
                <c:pt idx="168">
                  <c:v>4.24E-2</c:v>
                </c:pt>
                <c:pt idx="169">
                  <c:v>4.0399999999999998E-2</c:v>
                </c:pt>
                <c:pt idx="170">
                  <c:v>3.8600000000000002E-2</c:v>
                </c:pt>
                <c:pt idx="171">
                  <c:v>3.6999999999999998E-2</c:v>
                </c:pt>
                <c:pt idx="172">
                  <c:v>3.56E-2</c:v>
                </c:pt>
                <c:pt idx="173">
                  <c:v>3.4299999999999997E-2</c:v>
                </c:pt>
                <c:pt idx="174">
                  <c:v>3.32E-2</c:v>
                </c:pt>
                <c:pt idx="175">
                  <c:v>3.2199999999999999E-2</c:v>
                </c:pt>
                <c:pt idx="176">
                  <c:v>3.1300000000000001E-2</c:v>
                </c:pt>
                <c:pt idx="177">
                  <c:v>3.0499999999999999E-2</c:v>
                </c:pt>
                <c:pt idx="178">
                  <c:v>2.9700000000000001E-2</c:v>
                </c:pt>
                <c:pt idx="179">
                  <c:v>2.9000000000000001E-2</c:v>
                </c:pt>
                <c:pt idx="180">
                  <c:v>2.8400000000000002E-2</c:v>
                </c:pt>
                <c:pt idx="181">
                  <c:v>2.7699999999999999E-2</c:v>
                </c:pt>
                <c:pt idx="182">
                  <c:v>2.7099999999999999E-2</c:v>
                </c:pt>
                <c:pt idx="183">
                  <c:v>2.6499999999999999E-2</c:v>
                </c:pt>
                <c:pt idx="184">
                  <c:v>2.5999999999999999E-2</c:v>
                </c:pt>
                <c:pt idx="185">
                  <c:v>2.5499999999999998E-2</c:v>
                </c:pt>
                <c:pt idx="186">
                  <c:v>2.5100000000000001E-2</c:v>
                </c:pt>
                <c:pt idx="187">
                  <c:v>2.47E-2</c:v>
                </c:pt>
                <c:pt idx="188">
                  <c:v>2.4500000000000001E-2</c:v>
                </c:pt>
                <c:pt idx="189">
                  <c:v>2.4400000000000002E-2</c:v>
                </c:pt>
                <c:pt idx="190">
                  <c:v>2.4400000000000002E-2</c:v>
                </c:pt>
                <c:pt idx="191">
                  <c:v>2.4400000000000002E-2</c:v>
                </c:pt>
                <c:pt idx="192">
                  <c:v>2.4400000000000002E-2</c:v>
                </c:pt>
                <c:pt idx="193">
                  <c:v>2.4400000000000002E-2</c:v>
                </c:pt>
                <c:pt idx="194">
                  <c:v>2.4299999999999999E-2</c:v>
                </c:pt>
                <c:pt idx="195">
                  <c:v>2.4299999999999999E-2</c:v>
                </c:pt>
                <c:pt idx="196">
                  <c:v>2.4199999999999999E-2</c:v>
                </c:pt>
                <c:pt idx="197">
                  <c:v>2.4E-2</c:v>
                </c:pt>
                <c:pt idx="198">
                  <c:v>2.3800000000000002E-2</c:v>
                </c:pt>
                <c:pt idx="199">
                  <c:v>2.3599999999999999E-2</c:v>
                </c:pt>
                <c:pt idx="200">
                  <c:v>2.3300000000000001E-2</c:v>
                </c:pt>
                <c:pt idx="201">
                  <c:v>2.3099999999999999E-2</c:v>
                </c:pt>
                <c:pt idx="202">
                  <c:v>2.2800000000000001E-2</c:v>
                </c:pt>
                <c:pt idx="203">
                  <c:v>2.2499999999999999E-2</c:v>
                </c:pt>
                <c:pt idx="204">
                  <c:v>2.2200000000000001E-2</c:v>
                </c:pt>
                <c:pt idx="205">
                  <c:v>2.1899999999999999E-2</c:v>
                </c:pt>
                <c:pt idx="206">
                  <c:v>2.1600000000000001E-2</c:v>
                </c:pt>
                <c:pt idx="207">
                  <c:v>2.1299999999999999E-2</c:v>
                </c:pt>
                <c:pt idx="208">
                  <c:v>2.0899999999999998E-2</c:v>
                </c:pt>
                <c:pt idx="209">
                  <c:v>2.06E-2</c:v>
                </c:pt>
                <c:pt idx="210">
                  <c:v>2.0299999999999999E-2</c:v>
                </c:pt>
                <c:pt idx="211">
                  <c:v>1.9900000000000001E-2</c:v>
                </c:pt>
                <c:pt idx="212">
                  <c:v>1.9599999999999999E-2</c:v>
                </c:pt>
                <c:pt idx="213">
                  <c:v>1.9300000000000001E-2</c:v>
                </c:pt>
                <c:pt idx="214">
                  <c:v>1.9E-2</c:v>
                </c:pt>
                <c:pt idx="215">
                  <c:v>1.8599999999999998E-2</c:v>
                </c:pt>
                <c:pt idx="216">
                  <c:v>1.83E-2</c:v>
                </c:pt>
                <c:pt idx="217">
                  <c:v>1.7999999999999999E-2</c:v>
                </c:pt>
                <c:pt idx="218">
                  <c:v>1.77E-2</c:v>
                </c:pt>
                <c:pt idx="219">
                  <c:v>1.7399999999999999E-2</c:v>
                </c:pt>
                <c:pt idx="220">
                  <c:v>1.7100000000000001E-2</c:v>
                </c:pt>
                <c:pt idx="221">
                  <c:v>1.6799999999999999E-2</c:v>
                </c:pt>
                <c:pt idx="222">
                  <c:v>1.6500000000000001E-2</c:v>
                </c:pt>
                <c:pt idx="223">
                  <c:v>1.6199999999999999E-2</c:v>
                </c:pt>
                <c:pt idx="224">
                  <c:v>1.5900000000000001E-2</c:v>
                </c:pt>
                <c:pt idx="225">
                  <c:v>1.5699999999999999E-2</c:v>
                </c:pt>
                <c:pt idx="226">
                  <c:v>1.54E-2</c:v>
                </c:pt>
                <c:pt idx="227">
                  <c:v>1.5100000000000001E-2</c:v>
                </c:pt>
                <c:pt idx="228">
                  <c:v>1.49E-2</c:v>
                </c:pt>
                <c:pt idx="229">
                  <c:v>1.46E-2</c:v>
                </c:pt>
                <c:pt idx="230">
                  <c:v>1.44E-2</c:v>
                </c:pt>
                <c:pt idx="231">
                  <c:v>1.41E-2</c:v>
                </c:pt>
                <c:pt idx="232">
                  <c:v>1.3899999999999999E-2</c:v>
                </c:pt>
                <c:pt idx="233">
                  <c:v>1.37E-2</c:v>
                </c:pt>
                <c:pt idx="234">
                  <c:v>1.34E-2</c:v>
                </c:pt>
                <c:pt idx="235">
                  <c:v>1.32E-2</c:v>
                </c:pt>
                <c:pt idx="236">
                  <c:v>1.2999999999999999E-2</c:v>
                </c:pt>
                <c:pt idx="237">
                  <c:v>1.2800000000000001E-2</c:v>
                </c:pt>
                <c:pt idx="238">
                  <c:v>1.26E-2</c:v>
                </c:pt>
                <c:pt idx="239">
                  <c:v>1.24E-2</c:v>
                </c:pt>
                <c:pt idx="240">
                  <c:v>1.21E-2</c:v>
                </c:pt>
                <c:pt idx="241">
                  <c:v>1.1900000000000001E-2</c:v>
                </c:pt>
                <c:pt idx="242">
                  <c:v>1.17E-2</c:v>
                </c:pt>
                <c:pt idx="243">
                  <c:v>1.15E-2</c:v>
                </c:pt>
                <c:pt idx="244">
                  <c:v>1.1299999999999999E-2</c:v>
                </c:pt>
                <c:pt idx="245">
                  <c:v>1.11E-2</c:v>
                </c:pt>
                <c:pt idx="246">
                  <c:v>1.0999999999999999E-2</c:v>
                </c:pt>
                <c:pt idx="247">
                  <c:v>1.0800000000000001E-2</c:v>
                </c:pt>
                <c:pt idx="248">
                  <c:v>1.06E-2</c:v>
                </c:pt>
                <c:pt idx="249">
                  <c:v>1.04E-2</c:v>
                </c:pt>
                <c:pt idx="250">
                  <c:v>1.0200000000000001E-2</c:v>
                </c:pt>
                <c:pt idx="251">
                  <c:v>1.01E-2</c:v>
                </c:pt>
                <c:pt idx="252">
                  <c:v>9.9000000000000008E-3</c:v>
                </c:pt>
                <c:pt idx="253">
                  <c:v>9.7000000000000003E-3</c:v>
                </c:pt>
                <c:pt idx="254">
                  <c:v>9.4999999999999998E-3</c:v>
                </c:pt>
                <c:pt idx="255">
                  <c:v>9.2999999999999992E-3</c:v>
                </c:pt>
                <c:pt idx="256">
                  <c:v>9.1999999999999998E-3</c:v>
                </c:pt>
                <c:pt idx="257">
                  <c:v>8.9999999999999993E-3</c:v>
                </c:pt>
                <c:pt idx="258">
                  <c:v>8.8000000000000005E-3</c:v>
                </c:pt>
                <c:pt idx="259">
                  <c:v>8.6999999999999994E-3</c:v>
                </c:pt>
                <c:pt idx="260">
                  <c:v>8.5000000000000006E-3</c:v>
                </c:pt>
                <c:pt idx="261">
                  <c:v>8.3999999999999995E-3</c:v>
                </c:pt>
                <c:pt idx="262">
                  <c:v>8.3000000000000001E-3</c:v>
                </c:pt>
                <c:pt idx="263">
                  <c:v>8.2000000000000007E-3</c:v>
                </c:pt>
                <c:pt idx="264">
                  <c:v>8.0999999999999996E-3</c:v>
                </c:pt>
                <c:pt idx="265">
                  <c:v>8.0000000000000002E-3</c:v>
                </c:pt>
                <c:pt idx="266">
                  <c:v>7.9000000000000008E-3</c:v>
                </c:pt>
                <c:pt idx="267">
                  <c:v>7.9000000000000008E-3</c:v>
                </c:pt>
                <c:pt idx="268">
                  <c:v>7.7999999999999996E-3</c:v>
                </c:pt>
                <c:pt idx="269">
                  <c:v>7.7999999999999996E-3</c:v>
                </c:pt>
                <c:pt idx="270">
                  <c:v>7.7999999999999996E-3</c:v>
                </c:pt>
                <c:pt idx="271">
                  <c:v>7.7999999999999996E-3</c:v>
                </c:pt>
                <c:pt idx="272">
                  <c:v>7.7999999999999996E-3</c:v>
                </c:pt>
                <c:pt idx="273">
                  <c:v>7.7999999999999996E-3</c:v>
                </c:pt>
                <c:pt idx="274">
                  <c:v>7.7999999999999996E-3</c:v>
                </c:pt>
                <c:pt idx="275">
                  <c:v>7.7999999999999996E-3</c:v>
                </c:pt>
                <c:pt idx="276">
                  <c:v>7.7999999999999996E-3</c:v>
                </c:pt>
                <c:pt idx="277">
                  <c:v>7.7999999999999996E-3</c:v>
                </c:pt>
                <c:pt idx="278">
                  <c:v>7.7999999999999996E-3</c:v>
                </c:pt>
                <c:pt idx="279">
                  <c:v>7.7999999999999996E-3</c:v>
                </c:pt>
                <c:pt idx="280">
                  <c:v>7.7999999999999996E-3</c:v>
                </c:pt>
                <c:pt idx="281">
                  <c:v>7.7999999999999996E-3</c:v>
                </c:pt>
                <c:pt idx="282">
                  <c:v>7.7999999999999996E-3</c:v>
                </c:pt>
                <c:pt idx="283">
                  <c:v>7.7999999999999996E-3</c:v>
                </c:pt>
                <c:pt idx="284">
                  <c:v>7.7999999999999996E-3</c:v>
                </c:pt>
                <c:pt idx="285">
                  <c:v>7.7999999999999996E-3</c:v>
                </c:pt>
                <c:pt idx="286">
                  <c:v>7.7999999999999996E-3</c:v>
                </c:pt>
                <c:pt idx="287">
                  <c:v>7.7999999999999996E-3</c:v>
                </c:pt>
                <c:pt idx="288">
                  <c:v>7.7999999999999996E-3</c:v>
                </c:pt>
                <c:pt idx="289">
                  <c:v>7.7000000000000002E-3</c:v>
                </c:pt>
                <c:pt idx="290">
                  <c:v>7.7000000000000002E-3</c:v>
                </c:pt>
                <c:pt idx="291">
                  <c:v>7.7000000000000002E-3</c:v>
                </c:pt>
                <c:pt idx="292">
                  <c:v>7.7000000000000002E-3</c:v>
                </c:pt>
                <c:pt idx="293">
                  <c:v>7.7000000000000002E-3</c:v>
                </c:pt>
                <c:pt idx="294">
                  <c:v>7.7000000000000002E-3</c:v>
                </c:pt>
                <c:pt idx="295">
                  <c:v>7.7000000000000002E-3</c:v>
                </c:pt>
                <c:pt idx="296">
                  <c:v>7.7000000000000002E-3</c:v>
                </c:pt>
                <c:pt idx="297">
                  <c:v>7.6E-3</c:v>
                </c:pt>
                <c:pt idx="298">
                  <c:v>7.6E-3</c:v>
                </c:pt>
                <c:pt idx="299">
                  <c:v>7.6E-3</c:v>
                </c:pt>
                <c:pt idx="300">
                  <c:v>7.6E-3</c:v>
                </c:pt>
                <c:pt idx="301">
                  <c:v>7.6E-3</c:v>
                </c:pt>
                <c:pt idx="302">
                  <c:v>7.4999999999999997E-3</c:v>
                </c:pt>
                <c:pt idx="303">
                  <c:v>7.4999999999999997E-3</c:v>
                </c:pt>
                <c:pt idx="304">
                  <c:v>7.4999999999999997E-3</c:v>
                </c:pt>
                <c:pt idx="305">
                  <c:v>7.4999999999999997E-3</c:v>
                </c:pt>
                <c:pt idx="306">
                  <c:v>7.4000000000000003E-3</c:v>
                </c:pt>
                <c:pt idx="307">
                  <c:v>7.4000000000000003E-3</c:v>
                </c:pt>
                <c:pt idx="308">
                  <c:v>7.4000000000000003E-3</c:v>
                </c:pt>
                <c:pt idx="309">
                  <c:v>7.4000000000000003E-3</c:v>
                </c:pt>
                <c:pt idx="310">
                  <c:v>7.3000000000000001E-3</c:v>
                </c:pt>
                <c:pt idx="311">
                  <c:v>7.3000000000000001E-3</c:v>
                </c:pt>
                <c:pt idx="312">
                  <c:v>7.3000000000000001E-3</c:v>
                </c:pt>
                <c:pt idx="313">
                  <c:v>7.3000000000000001E-3</c:v>
                </c:pt>
                <c:pt idx="314">
                  <c:v>7.1999999999999998E-3</c:v>
                </c:pt>
                <c:pt idx="315">
                  <c:v>7.1999999999999998E-3</c:v>
                </c:pt>
                <c:pt idx="316">
                  <c:v>7.1999999999999998E-3</c:v>
                </c:pt>
                <c:pt idx="317">
                  <c:v>7.1000000000000004E-3</c:v>
                </c:pt>
                <c:pt idx="318">
                  <c:v>7.1000000000000004E-3</c:v>
                </c:pt>
                <c:pt idx="319">
                  <c:v>7.0000000000000001E-3</c:v>
                </c:pt>
                <c:pt idx="320">
                  <c:v>7.0000000000000001E-3</c:v>
                </c:pt>
                <c:pt idx="321">
                  <c:v>7.0000000000000001E-3</c:v>
                </c:pt>
                <c:pt idx="322">
                  <c:v>6.8999999999999999E-3</c:v>
                </c:pt>
                <c:pt idx="323">
                  <c:v>6.8999999999999999E-3</c:v>
                </c:pt>
                <c:pt idx="324">
                  <c:v>6.8999999999999999E-3</c:v>
                </c:pt>
                <c:pt idx="325">
                  <c:v>6.7999999999999996E-3</c:v>
                </c:pt>
                <c:pt idx="326">
                  <c:v>6.7999999999999996E-3</c:v>
                </c:pt>
                <c:pt idx="327">
                  <c:v>6.7999999999999996E-3</c:v>
                </c:pt>
                <c:pt idx="328">
                  <c:v>6.7000000000000002E-3</c:v>
                </c:pt>
                <c:pt idx="329">
                  <c:v>6.7000000000000002E-3</c:v>
                </c:pt>
                <c:pt idx="330">
                  <c:v>6.7000000000000002E-3</c:v>
                </c:pt>
                <c:pt idx="331">
                  <c:v>6.6E-3</c:v>
                </c:pt>
                <c:pt idx="332">
                  <c:v>6.6E-3</c:v>
                </c:pt>
                <c:pt idx="333">
                  <c:v>6.6E-3</c:v>
                </c:pt>
                <c:pt idx="334">
                  <c:v>6.4999999999999997E-3</c:v>
                </c:pt>
                <c:pt idx="335">
                  <c:v>6.4999999999999997E-3</c:v>
                </c:pt>
                <c:pt idx="336">
                  <c:v>6.4999999999999997E-3</c:v>
                </c:pt>
                <c:pt idx="337">
                  <c:v>6.4000000000000003E-3</c:v>
                </c:pt>
                <c:pt idx="338">
                  <c:v>6.4000000000000003E-3</c:v>
                </c:pt>
                <c:pt idx="339">
                  <c:v>6.4000000000000003E-3</c:v>
                </c:pt>
                <c:pt idx="340">
                  <c:v>6.3E-3</c:v>
                </c:pt>
                <c:pt idx="341">
                  <c:v>6.3E-3</c:v>
                </c:pt>
                <c:pt idx="342">
                  <c:v>6.3E-3</c:v>
                </c:pt>
                <c:pt idx="343">
                  <c:v>6.1999999999999998E-3</c:v>
                </c:pt>
                <c:pt idx="344">
                  <c:v>6.1999999999999998E-3</c:v>
                </c:pt>
                <c:pt idx="345">
                  <c:v>6.1999999999999998E-3</c:v>
                </c:pt>
                <c:pt idx="346">
                  <c:v>6.1999999999999998E-3</c:v>
                </c:pt>
                <c:pt idx="347">
                  <c:v>6.1000000000000004E-3</c:v>
                </c:pt>
                <c:pt idx="348">
                  <c:v>6.1000000000000004E-3</c:v>
                </c:pt>
                <c:pt idx="349">
                  <c:v>6.1000000000000004E-3</c:v>
                </c:pt>
                <c:pt idx="350">
                  <c:v>6.1000000000000004E-3</c:v>
                </c:pt>
                <c:pt idx="351">
                  <c:v>6.0000000000000001E-3</c:v>
                </c:pt>
                <c:pt idx="352">
                  <c:v>6.0000000000000001E-3</c:v>
                </c:pt>
                <c:pt idx="353">
                  <c:v>6.0000000000000001E-3</c:v>
                </c:pt>
                <c:pt idx="354">
                  <c:v>6.0000000000000001E-3</c:v>
                </c:pt>
                <c:pt idx="355">
                  <c:v>5.8999999999999999E-3</c:v>
                </c:pt>
                <c:pt idx="356">
                  <c:v>5.8999999999999999E-3</c:v>
                </c:pt>
                <c:pt idx="357">
                  <c:v>5.8999999999999999E-3</c:v>
                </c:pt>
                <c:pt idx="358">
                  <c:v>5.8999999999999999E-3</c:v>
                </c:pt>
                <c:pt idx="359">
                  <c:v>5.7999999999999996E-3</c:v>
                </c:pt>
                <c:pt idx="360">
                  <c:v>5.7999999999999996E-3</c:v>
                </c:pt>
                <c:pt idx="361">
                  <c:v>5.7999999999999996E-3</c:v>
                </c:pt>
                <c:pt idx="362">
                  <c:v>5.7000000000000002E-3</c:v>
                </c:pt>
                <c:pt idx="363">
                  <c:v>5.7000000000000002E-3</c:v>
                </c:pt>
                <c:pt idx="364">
                  <c:v>5.7000000000000002E-3</c:v>
                </c:pt>
                <c:pt idx="365">
                  <c:v>5.7000000000000002E-3</c:v>
                </c:pt>
                <c:pt idx="366">
                  <c:v>5.5999999999999999E-3</c:v>
                </c:pt>
                <c:pt idx="367">
                  <c:v>5.5999999999999999E-3</c:v>
                </c:pt>
                <c:pt idx="368">
                  <c:v>5.5999999999999999E-3</c:v>
                </c:pt>
                <c:pt idx="369">
                  <c:v>5.5999999999999999E-3</c:v>
                </c:pt>
                <c:pt idx="370">
                  <c:v>5.5999999999999999E-3</c:v>
                </c:pt>
                <c:pt idx="371">
                  <c:v>5.4999999999999997E-3</c:v>
                </c:pt>
                <c:pt idx="372">
                  <c:v>5.4999999999999997E-3</c:v>
                </c:pt>
                <c:pt idx="373">
                  <c:v>5.4999999999999997E-3</c:v>
                </c:pt>
                <c:pt idx="374">
                  <c:v>5.4999999999999997E-3</c:v>
                </c:pt>
                <c:pt idx="375">
                  <c:v>5.4000000000000003E-3</c:v>
                </c:pt>
                <c:pt idx="376">
                  <c:v>5.4000000000000003E-3</c:v>
                </c:pt>
                <c:pt idx="377">
                  <c:v>5.4000000000000003E-3</c:v>
                </c:pt>
                <c:pt idx="378">
                  <c:v>5.4000000000000003E-3</c:v>
                </c:pt>
                <c:pt idx="379">
                  <c:v>5.4000000000000003E-3</c:v>
                </c:pt>
                <c:pt idx="380">
                  <c:v>5.4000000000000003E-3</c:v>
                </c:pt>
                <c:pt idx="381">
                  <c:v>5.3E-3</c:v>
                </c:pt>
                <c:pt idx="382">
                  <c:v>5.3E-3</c:v>
                </c:pt>
                <c:pt idx="383">
                  <c:v>5.3E-3</c:v>
                </c:pt>
                <c:pt idx="384">
                  <c:v>5.3E-3</c:v>
                </c:pt>
                <c:pt idx="385">
                  <c:v>5.3E-3</c:v>
                </c:pt>
                <c:pt idx="386">
                  <c:v>5.3E-3</c:v>
                </c:pt>
                <c:pt idx="387">
                  <c:v>5.1999999999999998E-3</c:v>
                </c:pt>
                <c:pt idx="388">
                  <c:v>5.1999999999999998E-3</c:v>
                </c:pt>
                <c:pt idx="389">
                  <c:v>5.1999999999999998E-3</c:v>
                </c:pt>
                <c:pt idx="390">
                  <c:v>5.1999999999999998E-3</c:v>
                </c:pt>
                <c:pt idx="391">
                  <c:v>5.1999999999999998E-3</c:v>
                </c:pt>
                <c:pt idx="392">
                  <c:v>5.1999999999999998E-3</c:v>
                </c:pt>
                <c:pt idx="393">
                  <c:v>5.1000000000000004E-3</c:v>
                </c:pt>
                <c:pt idx="394">
                  <c:v>5.1000000000000004E-3</c:v>
                </c:pt>
                <c:pt idx="395">
                  <c:v>5.1000000000000004E-3</c:v>
                </c:pt>
                <c:pt idx="396">
                  <c:v>5.1000000000000004E-3</c:v>
                </c:pt>
                <c:pt idx="397">
                  <c:v>5.1000000000000004E-3</c:v>
                </c:pt>
                <c:pt idx="398">
                  <c:v>5.1000000000000004E-3</c:v>
                </c:pt>
                <c:pt idx="399">
                  <c:v>5.0000000000000001E-3</c:v>
                </c:pt>
                <c:pt idx="400">
                  <c:v>5.0000000000000001E-3</c:v>
                </c:pt>
                <c:pt idx="401">
                  <c:v>5.0000000000000001E-3</c:v>
                </c:pt>
                <c:pt idx="402">
                  <c:v>5.0000000000000001E-3</c:v>
                </c:pt>
                <c:pt idx="403">
                  <c:v>5.0000000000000001E-3</c:v>
                </c:pt>
                <c:pt idx="404">
                  <c:v>5.0000000000000001E-3</c:v>
                </c:pt>
                <c:pt idx="405">
                  <c:v>4.8999999999999998E-3</c:v>
                </c:pt>
                <c:pt idx="406">
                  <c:v>4.8999999999999998E-3</c:v>
                </c:pt>
                <c:pt idx="407">
                  <c:v>4.8999999999999998E-3</c:v>
                </c:pt>
                <c:pt idx="408">
                  <c:v>4.8999999999999998E-3</c:v>
                </c:pt>
                <c:pt idx="409">
                  <c:v>4.8999999999999998E-3</c:v>
                </c:pt>
                <c:pt idx="410">
                  <c:v>4.8999999999999998E-3</c:v>
                </c:pt>
                <c:pt idx="411">
                  <c:v>4.8999999999999998E-3</c:v>
                </c:pt>
                <c:pt idx="412">
                  <c:v>4.7999999999999996E-3</c:v>
                </c:pt>
                <c:pt idx="413">
                  <c:v>4.7999999999999996E-3</c:v>
                </c:pt>
                <c:pt idx="414">
                  <c:v>4.7999999999999996E-3</c:v>
                </c:pt>
                <c:pt idx="415">
                  <c:v>4.7999999999999996E-3</c:v>
                </c:pt>
                <c:pt idx="416">
                  <c:v>4.7999999999999996E-3</c:v>
                </c:pt>
                <c:pt idx="417">
                  <c:v>4.7999999999999996E-3</c:v>
                </c:pt>
                <c:pt idx="418">
                  <c:v>4.7999999999999996E-3</c:v>
                </c:pt>
                <c:pt idx="419">
                  <c:v>4.7000000000000002E-3</c:v>
                </c:pt>
                <c:pt idx="420">
                  <c:v>4.7000000000000002E-3</c:v>
                </c:pt>
                <c:pt idx="421">
                  <c:v>4.7000000000000002E-3</c:v>
                </c:pt>
                <c:pt idx="422">
                  <c:v>4.7000000000000002E-3</c:v>
                </c:pt>
                <c:pt idx="423">
                  <c:v>4.7000000000000002E-3</c:v>
                </c:pt>
                <c:pt idx="424">
                  <c:v>4.7000000000000002E-3</c:v>
                </c:pt>
                <c:pt idx="425">
                  <c:v>4.7000000000000002E-3</c:v>
                </c:pt>
                <c:pt idx="426">
                  <c:v>4.5999999999999999E-3</c:v>
                </c:pt>
                <c:pt idx="427">
                  <c:v>4.5999999999999999E-3</c:v>
                </c:pt>
                <c:pt idx="428">
                  <c:v>4.5999999999999999E-3</c:v>
                </c:pt>
                <c:pt idx="429">
                  <c:v>4.5999999999999999E-3</c:v>
                </c:pt>
                <c:pt idx="430">
                  <c:v>4.5999999999999999E-3</c:v>
                </c:pt>
                <c:pt idx="431">
                  <c:v>4.5999999999999999E-3</c:v>
                </c:pt>
                <c:pt idx="432">
                  <c:v>4.5999999999999999E-3</c:v>
                </c:pt>
                <c:pt idx="433">
                  <c:v>4.5999999999999999E-3</c:v>
                </c:pt>
                <c:pt idx="434">
                  <c:v>4.4999999999999997E-3</c:v>
                </c:pt>
                <c:pt idx="435">
                  <c:v>4.4999999999999997E-3</c:v>
                </c:pt>
                <c:pt idx="436">
                  <c:v>4.4999999999999997E-3</c:v>
                </c:pt>
                <c:pt idx="437">
                  <c:v>4.4999999999999997E-3</c:v>
                </c:pt>
                <c:pt idx="438">
                  <c:v>4.4999999999999997E-3</c:v>
                </c:pt>
                <c:pt idx="439">
                  <c:v>4.4999999999999997E-3</c:v>
                </c:pt>
                <c:pt idx="440">
                  <c:v>4.4999999999999997E-3</c:v>
                </c:pt>
                <c:pt idx="441">
                  <c:v>4.4999999999999997E-3</c:v>
                </c:pt>
                <c:pt idx="442">
                  <c:v>4.4000000000000003E-3</c:v>
                </c:pt>
                <c:pt idx="443">
                  <c:v>4.4000000000000003E-3</c:v>
                </c:pt>
                <c:pt idx="444">
                  <c:v>4.4000000000000003E-3</c:v>
                </c:pt>
                <c:pt idx="445">
                  <c:v>4.4000000000000003E-3</c:v>
                </c:pt>
                <c:pt idx="446">
                  <c:v>4.4000000000000003E-3</c:v>
                </c:pt>
                <c:pt idx="447">
                  <c:v>4.4000000000000003E-3</c:v>
                </c:pt>
                <c:pt idx="448">
                  <c:v>4.4000000000000003E-3</c:v>
                </c:pt>
                <c:pt idx="449">
                  <c:v>4.4000000000000003E-3</c:v>
                </c:pt>
                <c:pt idx="450">
                  <c:v>4.4000000000000003E-3</c:v>
                </c:pt>
                <c:pt idx="451">
                  <c:v>4.3E-3</c:v>
                </c:pt>
                <c:pt idx="452">
                  <c:v>4.3E-3</c:v>
                </c:pt>
                <c:pt idx="453">
                  <c:v>4.3E-3</c:v>
                </c:pt>
                <c:pt idx="454">
                  <c:v>4.3E-3</c:v>
                </c:pt>
                <c:pt idx="455">
                  <c:v>4.3E-3</c:v>
                </c:pt>
                <c:pt idx="456">
                  <c:v>4.3E-3</c:v>
                </c:pt>
                <c:pt idx="457">
                  <c:v>4.3E-3</c:v>
                </c:pt>
                <c:pt idx="458">
                  <c:v>4.3E-3</c:v>
                </c:pt>
                <c:pt idx="459">
                  <c:v>4.3E-3</c:v>
                </c:pt>
                <c:pt idx="460">
                  <c:v>4.1999999999999997E-3</c:v>
                </c:pt>
                <c:pt idx="461">
                  <c:v>4.1999999999999997E-3</c:v>
                </c:pt>
                <c:pt idx="462">
                  <c:v>4.1999999999999997E-3</c:v>
                </c:pt>
                <c:pt idx="463">
                  <c:v>4.1999999999999997E-3</c:v>
                </c:pt>
                <c:pt idx="464">
                  <c:v>4.1999999999999997E-3</c:v>
                </c:pt>
                <c:pt idx="465">
                  <c:v>4.1999999999999997E-3</c:v>
                </c:pt>
                <c:pt idx="466">
                  <c:v>4.1999999999999997E-3</c:v>
                </c:pt>
                <c:pt idx="467">
                  <c:v>4.1999999999999997E-3</c:v>
                </c:pt>
                <c:pt idx="468">
                  <c:v>4.1999999999999997E-3</c:v>
                </c:pt>
                <c:pt idx="469">
                  <c:v>4.1999999999999997E-3</c:v>
                </c:pt>
                <c:pt idx="470">
                  <c:v>4.1999999999999997E-3</c:v>
                </c:pt>
                <c:pt idx="471">
                  <c:v>4.1999999999999997E-3</c:v>
                </c:pt>
                <c:pt idx="472">
                  <c:v>4.1000000000000003E-3</c:v>
                </c:pt>
                <c:pt idx="473">
                  <c:v>4.1000000000000003E-3</c:v>
                </c:pt>
                <c:pt idx="474">
                  <c:v>4.1000000000000003E-3</c:v>
                </c:pt>
                <c:pt idx="475">
                  <c:v>4.1000000000000003E-3</c:v>
                </c:pt>
                <c:pt idx="476">
                  <c:v>4.1000000000000003E-3</c:v>
                </c:pt>
                <c:pt idx="477">
                  <c:v>4.1000000000000003E-3</c:v>
                </c:pt>
                <c:pt idx="478">
                  <c:v>4.1000000000000003E-3</c:v>
                </c:pt>
                <c:pt idx="479">
                  <c:v>4.1000000000000003E-3</c:v>
                </c:pt>
                <c:pt idx="480">
                  <c:v>4.1000000000000003E-3</c:v>
                </c:pt>
                <c:pt idx="481">
                  <c:v>4.1000000000000003E-3</c:v>
                </c:pt>
                <c:pt idx="482">
                  <c:v>4.1000000000000003E-3</c:v>
                </c:pt>
                <c:pt idx="483">
                  <c:v>4.1000000000000003E-3</c:v>
                </c:pt>
                <c:pt idx="484">
                  <c:v>4.1000000000000003E-3</c:v>
                </c:pt>
                <c:pt idx="485">
                  <c:v>4.0000000000000001E-3</c:v>
                </c:pt>
                <c:pt idx="486">
                  <c:v>4.0000000000000001E-3</c:v>
                </c:pt>
                <c:pt idx="487">
                  <c:v>4.0000000000000001E-3</c:v>
                </c:pt>
                <c:pt idx="488">
                  <c:v>4.0000000000000001E-3</c:v>
                </c:pt>
                <c:pt idx="489">
                  <c:v>4.0000000000000001E-3</c:v>
                </c:pt>
                <c:pt idx="490">
                  <c:v>4.0000000000000001E-3</c:v>
                </c:pt>
                <c:pt idx="491">
                  <c:v>4.0000000000000001E-3</c:v>
                </c:pt>
                <c:pt idx="492">
                  <c:v>4.0000000000000001E-3</c:v>
                </c:pt>
                <c:pt idx="493">
                  <c:v>4.0000000000000001E-3</c:v>
                </c:pt>
                <c:pt idx="494">
                  <c:v>4.0000000000000001E-3</c:v>
                </c:pt>
                <c:pt idx="495">
                  <c:v>4.0000000000000001E-3</c:v>
                </c:pt>
                <c:pt idx="496">
                  <c:v>4.0000000000000001E-3</c:v>
                </c:pt>
                <c:pt idx="497">
                  <c:v>4.0000000000000001E-3</c:v>
                </c:pt>
                <c:pt idx="498">
                  <c:v>4.0000000000000001E-3</c:v>
                </c:pt>
                <c:pt idx="499">
                  <c:v>3.8999999999999998E-3</c:v>
                </c:pt>
                <c:pt idx="500">
                  <c:v>3.8999999999999998E-3</c:v>
                </c:pt>
                <c:pt idx="501">
                  <c:v>3.8999999999999998E-3</c:v>
                </c:pt>
                <c:pt idx="502">
                  <c:v>3.8999999999999998E-3</c:v>
                </c:pt>
                <c:pt idx="503">
                  <c:v>3.8999999999999998E-3</c:v>
                </c:pt>
                <c:pt idx="504">
                  <c:v>3.8999999999999998E-3</c:v>
                </c:pt>
                <c:pt idx="505">
                  <c:v>3.8999999999999998E-3</c:v>
                </c:pt>
                <c:pt idx="506">
                  <c:v>3.8999999999999998E-3</c:v>
                </c:pt>
                <c:pt idx="507">
                  <c:v>3.8999999999999998E-3</c:v>
                </c:pt>
                <c:pt idx="508">
                  <c:v>3.8999999999999998E-3</c:v>
                </c:pt>
                <c:pt idx="509">
                  <c:v>3.8999999999999998E-3</c:v>
                </c:pt>
                <c:pt idx="510">
                  <c:v>3.8999999999999998E-3</c:v>
                </c:pt>
                <c:pt idx="511">
                  <c:v>3.8999999999999998E-3</c:v>
                </c:pt>
                <c:pt idx="512">
                  <c:v>3.8999999999999998E-3</c:v>
                </c:pt>
                <c:pt idx="513">
                  <c:v>3.8999999999999998E-3</c:v>
                </c:pt>
                <c:pt idx="514">
                  <c:v>3.8E-3</c:v>
                </c:pt>
                <c:pt idx="515">
                  <c:v>3.8E-3</c:v>
                </c:pt>
                <c:pt idx="516">
                  <c:v>3.8E-3</c:v>
                </c:pt>
                <c:pt idx="517">
                  <c:v>3.8E-3</c:v>
                </c:pt>
                <c:pt idx="518">
                  <c:v>3.8E-3</c:v>
                </c:pt>
                <c:pt idx="519">
                  <c:v>3.8E-3</c:v>
                </c:pt>
                <c:pt idx="520">
                  <c:v>3.8E-3</c:v>
                </c:pt>
                <c:pt idx="521">
                  <c:v>3.8E-3</c:v>
                </c:pt>
                <c:pt idx="522">
                  <c:v>3.8E-3</c:v>
                </c:pt>
                <c:pt idx="523">
                  <c:v>3.8E-3</c:v>
                </c:pt>
                <c:pt idx="524">
                  <c:v>3.8E-3</c:v>
                </c:pt>
                <c:pt idx="525">
                  <c:v>3.8E-3</c:v>
                </c:pt>
                <c:pt idx="526">
                  <c:v>3.8E-3</c:v>
                </c:pt>
                <c:pt idx="527">
                  <c:v>3.8E-3</c:v>
                </c:pt>
                <c:pt idx="528">
                  <c:v>3.8E-3</c:v>
                </c:pt>
                <c:pt idx="529">
                  <c:v>3.8E-3</c:v>
                </c:pt>
                <c:pt idx="530">
                  <c:v>3.8E-3</c:v>
                </c:pt>
                <c:pt idx="531">
                  <c:v>3.8E-3</c:v>
                </c:pt>
                <c:pt idx="532">
                  <c:v>3.8E-3</c:v>
                </c:pt>
                <c:pt idx="533">
                  <c:v>3.8E-3</c:v>
                </c:pt>
                <c:pt idx="534">
                  <c:v>3.8E-3</c:v>
                </c:pt>
                <c:pt idx="535">
                  <c:v>3.8E-3</c:v>
                </c:pt>
                <c:pt idx="536">
                  <c:v>3.8E-3</c:v>
                </c:pt>
                <c:pt idx="537">
                  <c:v>3.8E-3</c:v>
                </c:pt>
                <c:pt idx="538">
                  <c:v>3.8E-3</c:v>
                </c:pt>
                <c:pt idx="539">
                  <c:v>3.8E-3</c:v>
                </c:pt>
                <c:pt idx="540">
                  <c:v>3.8E-3</c:v>
                </c:pt>
                <c:pt idx="541">
                  <c:v>3.8E-3</c:v>
                </c:pt>
                <c:pt idx="542">
                  <c:v>3.8E-3</c:v>
                </c:pt>
                <c:pt idx="543">
                  <c:v>3.7000000000000002E-3</c:v>
                </c:pt>
                <c:pt idx="544">
                  <c:v>3.7000000000000002E-3</c:v>
                </c:pt>
                <c:pt idx="545">
                  <c:v>3.7000000000000002E-3</c:v>
                </c:pt>
                <c:pt idx="546">
                  <c:v>3.7000000000000002E-3</c:v>
                </c:pt>
                <c:pt idx="547">
                  <c:v>3.7000000000000002E-3</c:v>
                </c:pt>
                <c:pt idx="548">
                  <c:v>3.7000000000000002E-3</c:v>
                </c:pt>
                <c:pt idx="549">
                  <c:v>3.7000000000000002E-3</c:v>
                </c:pt>
                <c:pt idx="550">
                  <c:v>3.7000000000000002E-3</c:v>
                </c:pt>
                <c:pt idx="551">
                  <c:v>3.7000000000000002E-3</c:v>
                </c:pt>
                <c:pt idx="552">
                  <c:v>3.7000000000000002E-3</c:v>
                </c:pt>
                <c:pt idx="553">
                  <c:v>3.7000000000000002E-3</c:v>
                </c:pt>
                <c:pt idx="554">
                  <c:v>3.7000000000000002E-3</c:v>
                </c:pt>
                <c:pt idx="555">
                  <c:v>3.7000000000000002E-3</c:v>
                </c:pt>
                <c:pt idx="556">
                  <c:v>3.7000000000000002E-3</c:v>
                </c:pt>
                <c:pt idx="557">
                  <c:v>3.7000000000000002E-3</c:v>
                </c:pt>
                <c:pt idx="558">
                  <c:v>3.7000000000000002E-3</c:v>
                </c:pt>
                <c:pt idx="559">
                  <c:v>3.7000000000000002E-3</c:v>
                </c:pt>
                <c:pt idx="560">
                  <c:v>3.8E-3</c:v>
                </c:pt>
                <c:pt idx="561">
                  <c:v>3.8E-3</c:v>
                </c:pt>
                <c:pt idx="562">
                  <c:v>3.8E-3</c:v>
                </c:pt>
                <c:pt idx="563">
                  <c:v>3.8E-3</c:v>
                </c:pt>
                <c:pt idx="564">
                  <c:v>3.8E-3</c:v>
                </c:pt>
                <c:pt idx="565">
                  <c:v>3.8E-3</c:v>
                </c:pt>
                <c:pt idx="566">
                  <c:v>3.8E-3</c:v>
                </c:pt>
                <c:pt idx="567">
                  <c:v>3.8E-3</c:v>
                </c:pt>
                <c:pt idx="568">
                  <c:v>3.8E-3</c:v>
                </c:pt>
                <c:pt idx="569">
                  <c:v>3.8E-3</c:v>
                </c:pt>
                <c:pt idx="570">
                  <c:v>3.8E-3</c:v>
                </c:pt>
                <c:pt idx="571">
                  <c:v>3.8E-3</c:v>
                </c:pt>
                <c:pt idx="572">
                  <c:v>3.8E-3</c:v>
                </c:pt>
                <c:pt idx="573">
                  <c:v>3.8E-3</c:v>
                </c:pt>
                <c:pt idx="574">
                  <c:v>3.7000000000000002E-3</c:v>
                </c:pt>
                <c:pt idx="575">
                  <c:v>3.7000000000000002E-3</c:v>
                </c:pt>
                <c:pt idx="576">
                  <c:v>3.7000000000000002E-3</c:v>
                </c:pt>
                <c:pt idx="577">
                  <c:v>3.7000000000000002E-3</c:v>
                </c:pt>
                <c:pt idx="578">
                  <c:v>3.7000000000000002E-3</c:v>
                </c:pt>
                <c:pt idx="579">
                  <c:v>3.7000000000000002E-3</c:v>
                </c:pt>
                <c:pt idx="580">
                  <c:v>3.7000000000000002E-3</c:v>
                </c:pt>
                <c:pt idx="581">
                  <c:v>3.7000000000000002E-3</c:v>
                </c:pt>
                <c:pt idx="582">
                  <c:v>3.7000000000000002E-3</c:v>
                </c:pt>
                <c:pt idx="583">
                  <c:v>3.7000000000000002E-3</c:v>
                </c:pt>
                <c:pt idx="584">
                  <c:v>3.7000000000000002E-3</c:v>
                </c:pt>
                <c:pt idx="585">
                  <c:v>3.7000000000000002E-3</c:v>
                </c:pt>
                <c:pt idx="586">
                  <c:v>3.7000000000000002E-3</c:v>
                </c:pt>
                <c:pt idx="587">
                  <c:v>3.7000000000000002E-3</c:v>
                </c:pt>
                <c:pt idx="588">
                  <c:v>3.7000000000000002E-3</c:v>
                </c:pt>
                <c:pt idx="589">
                  <c:v>3.8E-3</c:v>
                </c:pt>
                <c:pt idx="590">
                  <c:v>3.8E-3</c:v>
                </c:pt>
                <c:pt idx="591">
                  <c:v>3.8E-3</c:v>
                </c:pt>
                <c:pt idx="592">
                  <c:v>3.8E-3</c:v>
                </c:pt>
                <c:pt idx="593">
                  <c:v>3.8E-3</c:v>
                </c:pt>
                <c:pt idx="594">
                  <c:v>3.8E-3</c:v>
                </c:pt>
                <c:pt idx="595">
                  <c:v>3.8E-3</c:v>
                </c:pt>
                <c:pt idx="596">
                  <c:v>3.8E-3</c:v>
                </c:pt>
                <c:pt idx="597">
                  <c:v>3.8E-3</c:v>
                </c:pt>
                <c:pt idx="598">
                  <c:v>3.8E-3</c:v>
                </c:pt>
                <c:pt idx="599">
                  <c:v>3.9000000000000003E-3</c:v>
                </c:pt>
                <c:pt idx="600">
                  <c:v>3.9000000000000003E-3</c:v>
                </c:pt>
                <c:pt idx="601">
                  <c:v>3.9000000000000003E-3</c:v>
                </c:pt>
                <c:pt idx="602">
                  <c:v>3.9000000000000003E-3</c:v>
                </c:pt>
                <c:pt idx="603">
                  <c:v>3.9000000000000003E-3</c:v>
                </c:pt>
                <c:pt idx="604">
                  <c:v>3.9000000000000003E-3</c:v>
                </c:pt>
                <c:pt idx="605">
                  <c:v>3.9000000000000003E-3</c:v>
                </c:pt>
                <c:pt idx="606">
                  <c:v>3.9000000000000003E-3</c:v>
                </c:pt>
                <c:pt idx="607">
                  <c:v>3.9000000000000003E-3</c:v>
                </c:pt>
                <c:pt idx="608">
                  <c:v>3.9000000000000003E-3</c:v>
                </c:pt>
                <c:pt idx="609">
                  <c:v>4.0000000000000001E-3</c:v>
                </c:pt>
                <c:pt idx="610">
                  <c:v>4.0000000000000001E-3</c:v>
                </c:pt>
                <c:pt idx="611">
                  <c:v>4.0000000000000001E-3</c:v>
                </c:pt>
                <c:pt idx="612">
                  <c:v>4.0000000000000001E-3</c:v>
                </c:pt>
                <c:pt idx="613">
                  <c:v>4.0000000000000001E-3</c:v>
                </c:pt>
                <c:pt idx="614">
                  <c:v>4.0000000000000001E-3</c:v>
                </c:pt>
                <c:pt idx="615">
                  <c:v>3.9000000000000003E-3</c:v>
                </c:pt>
                <c:pt idx="616">
                  <c:v>3.9000000000000003E-3</c:v>
                </c:pt>
                <c:pt idx="617">
                  <c:v>3.9000000000000003E-3</c:v>
                </c:pt>
                <c:pt idx="618">
                  <c:v>3.9000000000000003E-3</c:v>
                </c:pt>
                <c:pt idx="619">
                  <c:v>3.9000000000000003E-3</c:v>
                </c:pt>
                <c:pt idx="620">
                  <c:v>4.0000000000000001E-3</c:v>
                </c:pt>
                <c:pt idx="621">
                  <c:v>4.0000000000000001E-3</c:v>
                </c:pt>
                <c:pt idx="622">
                  <c:v>4.0000000000000001E-3</c:v>
                </c:pt>
                <c:pt idx="623">
                  <c:v>4.0000000000000001E-3</c:v>
                </c:pt>
                <c:pt idx="624">
                  <c:v>4.0000000000000001E-3</c:v>
                </c:pt>
                <c:pt idx="625">
                  <c:v>4.0000000000000001E-3</c:v>
                </c:pt>
                <c:pt idx="626">
                  <c:v>4.0000000000000001E-3</c:v>
                </c:pt>
                <c:pt idx="627">
                  <c:v>4.0000000000000001E-3</c:v>
                </c:pt>
                <c:pt idx="628">
                  <c:v>4.0000000000000001E-3</c:v>
                </c:pt>
                <c:pt idx="629">
                  <c:v>4.0000000000000001E-3</c:v>
                </c:pt>
                <c:pt idx="630">
                  <c:v>4.1000000000000003E-3</c:v>
                </c:pt>
                <c:pt idx="631">
                  <c:v>4.1000000000000003E-3</c:v>
                </c:pt>
                <c:pt idx="632">
                  <c:v>4.1000000000000003E-3</c:v>
                </c:pt>
                <c:pt idx="633">
                  <c:v>4.2000000000000006E-3</c:v>
                </c:pt>
                <c:pt idx="634">
                  <c:v>4.2000000000000006E-3</c:v>
                </c:pt>
                <c:pt idx="635">
                  <c:v>4.2000000000000006E-3</c:v>
                </c:pt>
                <c:pt idx="636">
                  <c:v>4.3E-3</c:v>
                </c:pt>
                <c:pt idx="637">
                  <c:v>4.3E-3</c:v>
                </c:pt>
                <c:pt idx="638">
                  <c:v>4.3E-3</c:v>
                </c:pt>
                <c:pt idx="639">
                  <c:v>4.4000000000000003E-3</c:v>
                </c:pt>
                <c:pt idx="640">
                  <c:v>4.3E-3</c:v>
                </c:pt>
                <c:pt idx="641">
                  <c:v>4.3E-3</c:v>
                </c:pt>
                <c:pt idx="642">
                  <c:v>4.3E-3</c:v>
                </c:pt>
                <c:pt idx="643">
                  <c:v>4.4000000000000003E-3</c:v>
                </c:pt>
                <c:pt idx="644">
                  <c:v>4.4000000000000003E-3</c:v>
                </c:pt>
                <c:pt idx="645">
                  <c:v>4.4000000000000003E-3</c:v>
                </c:pt>
                <c:pt idx="646">
                  <c:v>4.4999999999999997E-3</c:v>
                </c:pt>
                <c:pt idx="647">
                  <c:v>4.4999999999999997E-3</c:v>
                </c:pt>
                <c:pt idx="648">
                  <c:v>4.4999999999999997E-3</c:v>
                </c:pt>
                <c:pt idx="649">
                  <c:v>4.5999999999999999E-3</c:v>
                </c:pt>
                <c:pt idx="650">
                  <c:v>4.5999999999999999E-3</c:v>
                </c:pt>
                <c:pt idx="651">
                  <c:v>4.5999999999999999E-3</c:v>
                </c:pt>
                <c:pt idx="652">
                  <c:v>4.7000000000000002E-3</c:v>
                </c:pt>
                <c:pt idx="653">
                  <c:v>4.5999999999999999E-3</c:v>
                </c:pt>
                <c:pt idx="654">
                  <c:v>4.5999999999999999E-3</c:v>
                </c:pt>
                <c:pt idx="655">
                  <c:v>4.7000000000000002E-3</c:v>
                </c:pt>
                <c:pt idx="656">
                  <c:v>4.7000000000000002E-3</c:v>
                </c:pt>
                <c:pt idx="657">
                  <c:v>4.7999999999999996E-3</c:v>
                </c:pt>
                <c:pt idx="658">
                  <c:v>4.7999999999999996E-3</c:v>
                </c:pt>
                <c:pt idx="659">
                  <c:v>4.7999999999999996E-3</c:v>
                </c:pt>
                <c:pt idx="660">
                  <c:v>4.8999999999999998E-3</c:v>
                </c:pt>
                <c:pt idx="661">
                  <c:v>4.8999999999999998E-3</c:v>
                </c:pt>
                <c:pt idx="662">
                  <c:v>4.8000000000000004E-3</c:v>
                </c:pt>
                <c:pt idx="663">
                  <c:v>4.8999999999999998E-3</c:v>
                </c:pt>
                <c:pt idx="664">
                  <c:v>4.8999999999999998E-3</c:v>
                </c:pt>
                <c:pt idx="665">
                  <c:v>4.8999999999999998E-3</c:v>
                </c:pt>
                <c:pt idx="666">
                  <c:v>4.9999999999999992E-3</c:v>
                </c:pt>
                <c:pt idx="667">
                  <c:v>4.9999999999999992E-3</c:v>
                </c:pt>
                <c:pt idx="668">
                  <c:v>4.9999999999999992E-3</c:v>
                </c:pt>
                <c:pt idx="669">
                  <c:v>5.1000000000000004E-3</c:v>
                </c:pt>
                <c:pt idx="670">
                  <c:v>5.1000000000000004E-3</c:v>
                </c:pt>
                <c:pt idx="671">
                  <c:v>5.1000000000000004E-3</c:v>
                </c:pt>
                <c:pt idx="672">
                  <c:v>5.1999999999999998E-3</c:v>
                </c:pt>
                <c:pt idx="673">
                  <c:v>5.1999999999999998E-3</c:v>
                </c:pt>
                <c:pt idx="674">
                  <c:v>5.1999999999999998E-3</c:v>
                </c:pt>
                <c:pt idx="675">
                  <c:v>5.1999999999999998E-3</c:v>
                </c:pt>
                <c:pt idx="676">
                  <c:v>5.3E-3</c:v>
                </c:pt>
                <c:pt idx="677">
                  <c:v>5.4000000000000003E-3</c:v>
                </c:pt>
                <c:pt idx="678">
                  <c:v>5.5000000000000005E-3</c:v>
                </c:pt>
                <c:pt idx="679">
                  <c:v>5.4999999999999997E-3</c:v>
                </c:pt>
                <c:pt idx="680">
                  <c:v>5.5999999999999999E-3</c:v>
                </c:pt>
                <c:pt idx="681">
                  <c:v>5.7000000000000002E-3</c:v>
                </c:pt>
                <c:pt idx="682">
                  <c:v>5.6999999999999993E-3</c:v>
                </c:pt>
                <c:pt idx="683">
                  <c:v>5.7999999999999996E-3</c:v>
                </c:pt>
                <c:pt idx="684">
                  <c:v>5.8999999999999999E-3</c:v>
                </c:pt>
                <c:pt idx="685">
                  <c:v>5.8999999999999999E-3</c:v>
                </c:pt>
                <c:pt idx="686">
                  <c:v>6.0000000000000001E-3</c:v>
                </c:pt>
                <c:pt idx="687">
                  <c:v>6.1000000000000004E-3</c:v>
                </c:pt>
                <c:pt idx="688">
                  <c:v>6.2000000000000006E-3</c:v>
                </c:pt>
                <c:pt idx="689">
                  <c:v>6.4000000000000003E-3</c:v>
                </c:pt>
                <c:pt idx="690">
                  <c:v>6.5000000000000006E-3</c:v>
                </c:pt>
                <c:pt idx="691">
                  <c:v>6.4999999999999997E-3</c:v>
                </c:pt>
                <c:pt idx="692">
                  <c:v>6.6E-3</c:v>
                </c:pt>
                <c:pt idx="693">
                  <c:v>6.7000000000000002E-3</c:v>
                </c:pt>
                <c:pt idx="694">
                  <c:v>6.9000000000000008E-3</c:v>
                </c:pt>
                <c:pt idx="695">
                  <c:v>7.0000000000000001E-3</c:v>
                </c:pt>
                <c:pt idx="696">
                  <c:v>6.9999999999999993E-3</c:v>
                </c:pt>
                <c:pt idx="697">
                  <c:v>7.1999999999999998E-3</c:v>
                </c:pt>
                <c:pt idx="698">
                  <c:v>7.1999999999999998E-3</c:v>
                </c:pt>
                <c:pt idx="699">
                  <c:v>7.4000000000000003E-3</c:v>
                </c:pt>
                <c:pt idx="700">
                  <c:v>7.3999999999999995E-3</c:v>
                </c:pt>
                <c:pt idx="701">
                  <c:v>7.6E-3</c:v>
                </c:pt>
                <c:pt idx="702">
                  <c:v>7.7000000000000002E-3</c:v>
                </c:pt>
                <c:pt idx="703">
                  <c:v>7.7000000000000002E-3</c:v>
                </c:pt>
                <c:pt idx="704">
                  <c:v>7.9000000000000008E-3</c:v>
                </c:pt>
                <c:pt idx="705">
                  <c:v>7.899999999999999E-3</c:v>
                </c:pt>
                <c:pt idx="706">
                  <c:v>8.0999999999999996E-3</c:v>
                </c:pt>
                <c:pt idx="707">
                  <c:v>8.2000000000000007E-3</c:v>
                </c:pt>
                <c:pt idx="708">
                  <c:v>8.3999999999999995E-3</c:v>
                </c:pt>
                <c:pt idx="709">
                  <c:v>8.5000000000000006E-3</c:v>
                </c:pt>
                <c:pt idx="710">
                  <c:v>8.6E-3</c:v>
                </c:pt>
                <c:pt idx="711">
                  <c:v>8.8000000000000005E-3</c:v>
                </c:pt>
                <c:pt idx="712">
                  <c:v>9.0000000000000011E-3</c:v>
                </c:pt>
                <c:pt idx="713">
                  <c:v>9.0999999999999987E-3</c:v>
                </c:pt>
                <c:pt idx="714">
                  <c:v>9.2999999999999992E-3</c:v>
                </c:pt>
                <c:pt idx="715">
                  <c:v>9.4999999999999998E-3</c:v>
                </c:pt>
                <c:pt idx="716">
                  <c:v>9.5999999999999992E-3</c:v>
                </c:pt>
                <c:pt idx="717">
                  <c:v>9.6000000000000009E-3</c:v>
                </c:pt>
                <c:pt idx="718">
                  <c:v>9.8000000000000014E-3</c:v>
                </c:pt>
                <c:pt idx="719">
                  <c:v>9.8999999999999991E-3</c:v>
                </c:pt>
                <c:pt idx="720">
                  <c:v>0.01</c:v>
                </c:pt>
                <c:pt idx="721">
                  <c:v>0.01</c:v>
                </c:pt>
                <c:pt idx="722">
                  <c:v>1.01E-2</c:v>
                </c:pt>
                <c:pt idx="723">
                  <c:v>1.0200000000000001E-2</c:v>
                </c:pt>
                <c:pt idx="724">
                  <c:v>1.03E-2</c:v>
                </c:pt>
                <c:pt idx="725">
                  <c:v>1.04E-2</c:v>
                </c:pt>
                <c:pt idx="726">
                  <c:v>1.0500000000000001E-2</c:v>
                </c:pt>
                <c:pt idx="727">
                  <c:v>1.0599999999999998E-2</c:v>
                </c:pt>
                <c:pt idx="728">
                  <c:v>1.0699999999999999E-2</c:v>
                </c:pt>
                <c:pt idx="729">
                  <c:v>1.09E-2</c:v>
                </c:pt>
                <c:pt idx="730">
                  <c:v>1.1000000000000001E-2</c:v>
                </c:pt>
                <c:pt idx="731">
                  <c:v>1.1099999999999999E-2</c:v>
                </c:pt>
                <c:pt idx="732">
                  <c:v>1.12E-2</c:v>
                </c:pt>
                <c:pt idx="733">
                  <c:v>1.14E-2</c:v>
                </c:pt>
                <c:pt idx="734">
                  <c:v>1.15E-2</c:v>
                </c:pt>
                <c:pt idx="735">
                  <c:v>1.1599999999999999E-2</c:v>
                </c:pt>
                <c:pt idx="736">
                  <c:v>1.17E-2</c:v>
                </c:pt>
                <c:pt idx="737">
                  <c:v>1.1899999999999999E-2</c:v>
                </c:pt>
                <c:pt idx="738">
                  <c:v>1.2000000000000002E-2</c:v>
                </c:pt>
                <c:pt idx="739">
                  <c:v>1.2199999999999999E-2</c:v>
                </c:pt>
                <c:pt idx="740">
                  <c:v>1.2299999999999998E-2</c:v>
                </c:pt>
                <c:pt idx="741">
                  <c:v>1.2400000000000001E-2</c:v>
                </c:pt>
                <c:pt idx="742">
                  <c:v>1.2500000000000001E-2</c:v>
                </c:pt>
                <c:pt idx="743">
                  <c:v>1.2699999999999999E-2</c:v>
                </c:pt>
                <c:pt idx="744">
                  <c:v>1.2800000000000001E-2</c:v>
                </c:pt>
                <c:pt idx="745">
                  <c:v>1.2999999999999998E-2</c:v>
                </c:pt>
                <c:pt idx="746">
                  <c:v>1.3100000000000001E-2</c:v>
                </c:pt>
                <c:pt idx="747">
                  <c:v>1.32E-2</c:v>
                </c:pt>
                <c:pt idx="748">
                  <c:v>1.3400000000000002E-2</c:v>
                </c:pt>
                <c:pt idx="749">
                  <c:v>1.3500000000000002E-2</c:v>
                </c:pt>
                <c:pt idx="750">
                  <c:v>1.3599999999999999E-2</c:v>
                </c:pt>
                <c:pt idx="751">
                  <c:v>1.38E-2</c:v>
                </c:pt>
                <c:pt idx="752">
                  <c:v>1.3899999999999999E-2</c:v>
                </c:pt>
                <c:pt idx="753">
                  <c:v>1.4100000000000001E-2</c:v>
                </c:pt>
                <c:pt idx="754">
                  <c:v>1.4200000000000001E-2</c:v>
                </c:pt>
                <c:pt idx="755">
                  <c:v>1.4400000000000001E-2</c:v>
                </c:pt>
                <c:pt idx="756">
                  <c:v>1.4500000000000001E-2</c:v>
                </c:pt>
                <c:pt idx="757">
                  <c:v>1.4599999999999998E-2</c:v>
                </c:pt>
                <c:pt idx="758">
                  <c:v>1.4700000000000001E-2</c:v>
                </c:pt>
                <c:pt idx="759">
                  <c:v>1.49E-2</c:v>
                </c:pt>
                <c:pt idx="760">
                  <c:v>1.5100000000000001E-2</c:v>
                </c:pt>
                <c:pt idx="761">
                  <c:v>1.5199999999999998E-2</c:v>
                </c:pt>
                <c:pt idx="762">
                  <c:v>1.5300000000000001E-2</c:v>
                </c:pt>
                <c:pt idx="763">
                  <c:v>1.55E-2</c:v>
                </c:pt>
                <c:pt idx="764">
                  <c:v>1.5700000000000002E-2</c:v>
                </c:pt>
                <c:pt idx="765">
                  <c:v>1.5699999999999999E-2</c:v>
                </c:pt>
                <c:pt idx="766">
                  <c:v>1.5900000000000001E-2</c:v>
                </c:pt>
                <c:pt idx="767">
                  <c:v>1.61E-2</c:v>
                </c:pt>
                <c:pt idx="768">
                  <c:v>1.6199999999999999E-2</c:v>
                </c:pt>
                <c:pt idx="769">
                  <c:v>1.6399999999999998E-2</c:v>
                </c:pt>
                <c:pt idx="770">
                  <c:v>1.6500000000000001E-2</c:v>
                </c:pt>
                <c:pt idx="771">
                  <c:v>1.67E-2</c:v>
                </c:pt>
                <c:pt idx="772">
                  <c:v>1.6800000000000002E-2</c:v>
                </c:pt>
                <c:pt idx="773">
                  <c:v>1.7000000000000001E-2</c:v>
                </c:pt>
                <c:pt idx="774">
                  <c:v>1.7100000000000001E-2</c:v>
                </c:pt>
                <c:pt idx="775">
                  <c:v>1.7299999999999999E-2</c:v>
                </c:pt>
                <c:pt idx="776">
                  <c:v>1.7399999999999999E-2</c:v>
                </c:pt>
                <c:pt idx="777">
                  <c:v>1.77E-2</c:v>
                </c:pt>
                <c:pt idx="778">
                  <c:v>1.78E-2</c:v>
                </c:pt>
                <c:pt idx="779">
                  <c:v>1.7899999999999999E-2</c:v>
                </c:pt>
                <c:pt idx="780">
                  <c:v>1.8000000000000002E-2</c:v>
                </c:pt>
                <c:pt idx="781">
                  <c:v>1.83E-2</c:v>
                </c:pt>
                <c:pt idx="782">
                  <c:v>1.84E-2</c:v>
                </c:pt>
                <c:pt idx="783">
                  <c:v>1.8500000000000003E-2</c:v>
                </c:pt>
                <c:pt idx="784">
                  <c:v>1.8700000000000001E-2</c:v>
                </c:pt>
                <c:pt idx="785">
                  <c:v>1.8799999999999997E-2</c:v>
                </c:pt>
                <c:pt idx="786">
                  <c:v>1.9000000000000003E-2</c:v>
                </c:pt>
                <c:pt idx="787">
                  <c:v>1.9000000000000003E-2</c:v>
                </c:pt>
                <c:pt idx="788">
                  <c:v>1.89E-2</c:v>
                </c:pt>
                <c:pt idx="789">
                  <c:v>1.8800000000000001E-2</c:v>
                </c:pt>
                <c:pt idx="790">
                  <c:v>1.8799999999999997E-2</c:v>
                </c:pt>
                <c:pt idx="791">
                  <c:v>1.8799999999999997E-2</c:v>
                </c:pt>
                <c:pt idx="792">
                  <c:v>1.8799999999999997E-2</c:v>
                </c:pt>
                <c:pt idx="793">
                  <c:v>1.8800000000000001E-2</c:v>
                </c:pt>
                <c:pt idx="794">
                  <c:v>1.8800000000000001E-2</c:v>
                </c:pt>
                <c:pt idx="795">
                  <c:v>1.8800000000000001E-2</c:v>
                </c:pt>
                <c:pt idx="796">
                  <c:v>1.8799999999999997E-2</c:v>
                </c:pt>
                <c:pt idx="797">
                  <c:v>1.8700000000000001E-2</c:v>
                </c:pt>
                <c:pt idx="798">
                  <c:v>1.8699999999999998E-2</c:v>
                </c:pt>
                <c:pt idx="799">
                  <c:v>1.8599999999999998E-2</c:v>
                </c:pt>
                <c:pt idx="800">
                  <c:v>1.8600000000000002E-2</c:v>
                </c:pt>
                <c:pt idx="801">
                  <c:v>1.8599999999999998E-2</c:v>
                </c:pt>
                <c:pt idx="802">
                  <c:v>1.8499999999999999E-2</c:v>
                </c:pt>
                <c:pt idx="803">
                  <c:v>1.8499999999999999E-2</c:v>
                </c:pt>
                <c:pt idx="804">
                  <c:v>1.8499999999999999E-2</c:v>
                </c:pt>
                <c:pt idx="805">
                  <c:v>1.8500000000000003E-2</c:v>
                </c:pt>
                <c:pt idx="806">
                  <c:v>1.84E-2</c:v>
                </c:pt>
                <c:pt idx="807">
                  <c:v>1.83E-2</c:v>
                </c:pt>
                <c:pt idx="808">
                  <c:v>1.83E-2</c:v>
                </c:pt>
                <c:pt idx="809">
                  <c:v>1.83E-2</c:v>
                </c:pt>
                <c:pt idx="810">
                  <c:v>1.8200000000000001E-2</c:v>
                </c:pt>
                <c:pt idx="811">
                  <c:v>1.8200000000000001E-2</c:v>
                </c:pt>
                <c:pt idx="812">
                  <c:v>1.8200000000000001E-2</c:v>
                </c:pt>
                <c:pt idx="813">
                  <c:v>1.7999999999999999E-2</c:v>
                </c:pt>
                <c:pt idx="814">
                  <c:v>1.7899999999999999E-2</c:v>
                </c:pt>
                <c:pt idx="815">
                  <c:v>1.7799999999999996E-2</c:v>
                </c:pt>
                <c:pt idx="816">
                  <c:v>1.77E-2</c:v>
                </c:pt>
                <c:pt idx="817">
                  <c:v>1.7500000000000002E-2</c:v>
                </c:pt>
                <c:pt idx="818">
                  <c:v>1.7399999999999999E-2</c:v>
                </c:pt>
                <c:pt idx="819">
                  <c:v>1.7399999999999999E-2</c:v>
                </c:pt>
                <c:pt idx="820">
                  <c:v>1.7299999999999999E-2</c:v>
                </c:pt>
                <c:pt idx="821">
                  <c:v>1.7100000000000001E-2</c:v>
                </c:pt>
                <c:pt idx="822">
                  <c:v>1.7000000000000001E-2</c:v>
                </c:pt>
                <c:pt idx="823">
                  <c:v>1.6899999999999998E-2</c:v>
                </c:pt>
                <c:pt idx="824">
                  <c:v>1.6799999999999999E-2</c:v>
                </c:pt>
                <c:pt idx="825">
                  <c:v>1.67E-2</c:v>
                </c:pt>
                <c:pt idx="826">
                  <c:v>1.6500000000000001E-2</c:v>
                </c:pt>
                <c:pt idx="827">
                  <c:v>1.6399999999999998E-2</c:v>
                </c:pt>
                <c:pt idx="828">
                  <c:v>1.6300000000000002E-2</c:v>
                </c:pt>
                <c:pt idx="829">
                  <c:v>1.6199999999999999E-2</c:v>
                </c:pt>
                <c:pt idx="830">
                  <c:v>1.6E-2</c:v>
                </c:pt>
                <c:pt idx="831">
                  <c:v>1.5900000000000001E-2</c:v>
                </c:pt>
                <c:pt idx="832">
                  <c:v>1.5800000000000002E-2</c:v>
                </c:pt>
                <c:pt idx="833">
                  <c:v>1.5699999999999999E-2</c:v>
                </c:pt>
                <c:pt idx="834">
                  <c:v>1.5500000000000002E-2</c:v>
                </c:pt>
                <c:pt idx="835">
                  <c:v>1.5400000000000002E-2</c:v>
                </c:pt>
                <c:pt idx="836">
                  <c:v>1.5300000000000001E-2</c:v>
                </c:pt>
                <c:pt idx="837">
                  <c:v>1.5099999999999999E-2</c:v>
                </c:pt>
                <c:pt idx="838">
                  <c:v>1.4999999999999999E-2</c:v>
                </c:pt>
                <c:pt idx="839">
                  <c:v>1.49E-2</c:v>
                </c:pt>
                <c:pt idx="840">
                  <c:v>1.4700000000000001E-2</c:v>
                </c:pt>
                <c:pt idx="841">
                  <c:v>1.4500000000000002E-2</c:v>
                </c:pt>
                <c:pt idx="842">
                  <c:v>1.4199999999999997E-2</c:v>
                </c:pt>
                <c:pt idx="843">
                  <c:v>1.3999999999999999E-2</c:v>
                </c:pt>
                <c:pt idx="844">
                  <c:v>1.38E-2</c:v>
                </c:pt>
                <c:pt idx="845">
                  <c:v>1.3599999999999998E-2</c:v>
                </c:pt>
                <c:pt idx="846">
                  <c:v>1.3399999999999999E-2</c:v>
                </c:pt>
                <c:pt idx="847">
                  <c:v>1.32E-2</c:v>
                </c:pt>
                <c:pt idx="848">
                  <c:v>1.2999999999999998E-2</c:v>
                </c:pt>
                <c:pt idx="849">
                  <c:v>1.2799999999999999E-2</c:v>
                </c:pt>
                <c:pt idx="850">
                  <c:v>1.26E-2</c:v>
                </c:pt>
                <c:pt idx="851">
                  <c:v>1.2399999999999998E-2</c:v>
                </c:pt>
                <c:pt idx="852">
                  <c:v>1.2199999999999999E-2</c:v>
                </c:pt>
                <c:pt idx="853">
                  <c:v>1.1999999999999997E-2</c:v>
                </c:pt>
                <c:pt idx="854">
                  <c:v>1.1699999999999999E-2</c:v>
                </c:pt>
                <c:pt idx="855">
                  <c:v>1.15E-2</c:v>
                </c:pt>
                <c:pt idx="856">
                  <c:v>1.1299999999999998E-2</c:v>
                </c:pt>
                <c:pt idx="857">
                  <c:v>1.1099999999999999E-2</c:v>
                </c:pt>
                <c:pt idx="858">
                  <c:v>1.09E-2</c:v>
                </c:pt>
                <c:pt idx="859">
                  <c:v>1.0699999999999998E-2</c:v>
                </c:pt>
                <c:pt idx="860">
                  <c:v>1.0499999999999999E-2</c:v>
                </c:pt>
                <c:pt idx="861">
                  <c:v>1.04E-2</c:v>
                </c:pt>
                <c:pt idx="862">
                  <c:v>1.0100000000000001E-2</c:v>
                </c:pt>
                <c:pt idx="863">
                  <c:v>9.8999999999999991E-3</c:v>
                </c:pt>
                <c:pt idx="864">
                  <c:v>9.7000000000000003E-3</c:v>
                </c:pt>
                <c:pt idx="865">
                  <c:v>9.499999999999998E-3</c:v>
                </c:pt>
                <c:pt idx="866">
                  <c:v>9.3999999999999986E-3</c:v>
                </c:pt>
                <c:pt idx="867">
                  <c:v>9.1999999999999998E-3</c:v>
                </c:pt>
                <c:pt idx="868">
                  <c:v>9.0000000000000011E-3</c:v>
                </c:pt>
                <c:pt idx="869">
                  <c:v>8.7999999999999988E-3</c:v>
                </c:pt>
                <c:pt idx="870">
                  <c:v>8.6E-3</c:v>
                </c:pt>
                <c:pt idx="871">
                  <c:v>8.5000000000000006E-3</c:v>
                </c:pt>
                <c:pt idx="872">
                  <c:v>8.3000000000000018E-3</c:v>
                </c:pt>
                <c:pt idx="873">
                  <c:v>8.0999999999999996E-3</c:v>
                </c:pt>
                <c:pt idx="874">
                  <c:v>7.9000000000000008E-3</c:v>
                </c:pt>
                <c:pt idx="875">
                  <c:v>7.8000000000000014E-3</c:v>
                </c:pt>
                <c:pt idx="876">
                  <c:v>7.5999999999999991E-3</c:v>
                </c:pt>
                <c:pt idx="877">
                  <c:v>7.4000000000000003E-3</c:v>
                </c:pt>
                <c:pt idx="878">
                  <c:v>7.2999999999999975E-3</c:v>
                </c:pt>
                <c:pt idx="879">
                  <c:v>7.0999999999999987E-3</c:v>
                </c:pt>
                <c:pt idx="880">
                  <c:v>6.9999999999999993E-3</c:v>
                </c:pt>
                <c:pt idx="881">
                  <c:v>6.7000000000000011E-3</c:v>
                </c:pt>
                <c:pt idx="882">
                  <c:v>6.5999999999999982E-3</c:v>
                </c:pt>
                <c:pt idx="883">
                  <c:v>6.3999999999999994E-3</c:v>
                </c:pt>
                <c:pt idx="884">
                  <c:v>6.3E-3</c:v>
                </c:pt>
                <c:pt idx="885">
                  <c:v>6.1000000000000013E-3</c:v>
                </c:pt>
                <c:pt idx="886">
                  <c:v>5.9000000000000025E-3</c:v>
                </c:pt>
                <c:pt idx="887">
                  <c:v>5.7000000000000002E-3</c:v>
                </c:pt>
                <c:pt idx="888">
                  <c:v>5.6000000000000008E-3</c:v>
                </c:pt>
                <c:pt idx="889">
                  <c:v>5.3999999999999986E-3</c:v>
                </c:pt>
                <c:pt idx="890">
                  <c:v>5.2999999999999992E-3</c:v>
                </c:pt>
                <c:pt idx="891">
                  <c:v>5.1000000000000004E-3</c:v>
                </c:pt>
                <c:pt idx="892">
                  <c:v>4.8999999999999981E-3</c:v>
                </c:pt>
                <c:pt idx="893">
                  <c:v>4.6999999999999993E-3</c:v>
                </c:pt>
                <c:pt idx="894">
                  <c:v>4.5999999999999999E-3</c:v>
                </c:pt>
                <c:pt idx="895">
                  <c:v>4.4000000000000011E-3</c:v>
                </c:pt>
                <c:pt idx="896">
                  <c:v>4.3000000000000017E-3</c:v>
                </c:pt>
                <c:pt idx="897">
                  <c:v>4.0999999999999995E-3</c:v>
                </c:pt>
                <c:pt idx="898">
                  <c:v>4.0000000000000001E-3</c:v>
                </c:pt>
                <c:pt idx="899">
                  <c:v>3.7999999999999978E-3</c:v>
                </c:pt>
                <c:pt idx="900">
                  <c:v>3.599999999999999E-3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B-9145-B5DA-A0AB43694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983039"/>
        <c:axId val="2131984719"/>
      </c:scatterChart>
      <c:valAx>
        <c:axId val="213198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84719"/>
        <c:crosses val="autoZero"/>
        <c:crossBetween val="midCat"/>
      </c:valAx>
      <c:valAx>
        <c:axId val="213198471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83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NUV: Materion 280 nm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Materion 280 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'Filter Materion 280 20160217'!$A$2:$A$1004</c:f>
              <c:numCache>
                <c:formatCode>General</c:formatCode>
                <c:ptCount val="1003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  <c:pt idx="901">
                  <c:v>1001</c:v>
                </c:pt>
                <c:pt idx="902">
                  <c:v>1002</c:v>
                </c:pt>
                <c:pt idx="903">
                  <c:v>1003</c:v>
                </c:pt>
                <c:pt idx="904">
                  <c:v>1004</c:v>
                </c:pt>
                <c:pt idx="905">
                  <c:v>1005</c:v>
                </c:pt>
                <c:pt idx="906">
                  <c:v>1006</c:v>
                </c:pt>
                <c:pt idx="907">
                  <c:v>1007</c:v>
                </c:pt>
                <c:pt idx="908">
                  <c:v>1008</c:v>
                </c:pt>
                <c:pt idx="909">
                  <c:v>1009</c:v>
                </c:pt>
                <c:pt idx="910">
                  <c:v>1010</c:v>
                </c:pt>
                <c:pt idx="911">
                  <c:v>1011</c:v>
                </c:pt>
                <c:pt idx="912">
                  <c:v>1012</c:v>
                </c:pt>
                <c:pt idx="913">
                  <c:v>1013</c:v>
                </c:pt>
                <c:pt idx="914">
                  <c:v>1014</c:v>
                </c:pt>
                <c:pt idx="915">
                  <c:v>1015</c:v>
                </c:pt>
                <c:pt idx="916">
                  <c:v>1016</c:v>
                </c:pt>
                <c:pt idx="917">
                  <c:v>1017</c:v>
                </c:pt>
                <c:pt idx="918">
                  <c:v>1018</c:v>
                </c:pt>
                <c:pt idx="919">
                  <c:v>1019</c:v>
                </c:pt>
                <c:pt idx="920">
                  <c:v>1020</c:v>
                </c:pt>
                <c:pt idx="921">
                  <c:v>1021</c:v>
                </c:pt>
                <c:pt idx="922">
                  <c:v>1022</c:v>
                </c:pt>
                <c:pt idx="923">
                  <c:v>1023</c:v>
                </c:pt>
                <c:pt idx="924">
                  <c:v>1024</c:v>
                </c:pt>
                <c:pt idx="925">
                  <c:v>1025</c:v>
                </c:pt>
                <c:pt idx="926">
                  <c:v>1026</c:v>
                </c:pt>
                <c:pt idx="927">
                  <c:v>1027</c:v>
                </c:pt>
                <c:pt idx="928">
                  <c:v>1028</c:v>
                </c:pt>
                <c:pt idx="929">
                  <c:v>1029</c:v>
                </c:pt>
                <c:pt idx="930">
                  <c:v>1030</c:v>
                </c:pt>
                <c:pt idx="931">
                  <c:v>1031</c:v>
                </c:pt>
                <c:pt idx="932">
                  <c:v>1032</c:v>
                </c:pt>
                <c:pt idx="933">
                  <c:v>1033</c:v>
                </c:pt>
                <c:pt idx="934">
                  <c:v>1034</c:v>
                </c:pt>
                <c:pt idx="935">
                  <c:v>1035</c:v>
                </c:pt>
                <c:pt idx="936">
                  <c:v>1036</c:v>
                </c:pt>
                <c:pt idx="937">
                  <c:v>1037</c:v>
                </c:pt>
                <c:pt idx="938">
                  <c:v>1038</c:v>
                </c:pt>
                <c:pt idx="939">
                  <c:v>1039</c:v>
                </c:pt>
                <c:pt idx="940">
                  <c:v>1040</c:v>
                </c:pt>
                <c:pt idx="941">
                  <c:v>1041</c:v>
                </c:pt>
                <c:pt idx="942">
                  <c:v>1042</c:v>
                </c:pt>
                <c:pt idx="943">
                  <c:v>1043</c:v>
                </c:pt>
                <c:pt idx="944">
                  <c:v>1044</c:v>
                </c:pt>
                <c:pt idx="945">
                  <c:v>1045</c:v>
                </c:pt>
                <c:pt idx="946">
                  <c:v>1046</c:v>
                </c:pt>
                <c:pt idx="947">
                  <c:v>1047</c:v>
                </c:pt>
                <c:pt idx="948">
                  <c:v>1048</c:v>
                </c:pt>
                <c:pt idx="949">
                  <c:v>1049</c:v>
                </c:pt>
                <c:pt idx="950">
                  <c:v>1050</c:v>
                </c:pt>
                <c:pt idx="951">
                  <c:v>1051</c:v>
                </c:pt>
                <c:pt idx="952">
                  <c:v>1052</c:v>
                </c:pt>
                <c:pt idx="953">
                  <c:v>1053</c:v>
                </c:pt>
                <c:pt idx="954">
                  <c:v>1054</c:v>
                </c:pt>
                <c:pt idx="955">
                  <c:v>1055</c:v>
                </c:pt>
                <c:pt idx="956">
                  <c:v>1056</c:v>
                </c:pt>
                <c:pt idx="957">
                  <c:v>1057</c:v>
                </c:pt>
                <c:pt idx="958">
                  <c:v>1058</c:v>
                </c:pt>
                <c:pt idx="959">
                  <c:v>1059</c:v>
                </c:pt>
                <c:pt idx="960">
                  <c:v>1060</c:v>
                </c:pt>
                <c:pt idx="961">
                  <c:v>1061</c:v>
                </c:pt>
                <c:pt idx="962">
                  <c:v>1062</c:v>
                </c:pt>
                <c:pt idx="963">
                  <c:v>1063</c:v>
                </c:pt>
                <c:pt idx="964">
                  <c:v>1064</c:v>
                </c:pt>
                <c:pt idx="965">
                  <c:v>1065</c:v>
                </c:pt>
                <c:pt idx="966">
                  <c:v>1066</c:v>
                </c:pt>
                <c:pt idx="967">
                  <c:v>1067</c:v>
                </c:pt>
                <c:pt idx="968">
                  <c:v>1068</c:v>
                </c:pt>
                <c:pt idx="969">
                  <c:v>1069</c:v>
                </c:pt>
                <c:pt idx="970">
                  <c:v>1070</c:v>
                </c:pt>
                <c:pt idx="971">
                  <c:v>1071</c:v>
                </c:pt>
                <c:pt idx="972">
                  <c:v>1072</c:v>
                </c:pt>
                <c:pt idx="973">
                  <c:v>1073</c:v>
                </c:pt>
                <c:pt idx="974">
                  <c:v>1074</c:v>
                </c:pt>
                <c:pt idx="975">
                  <c:v>1075</c:v>
                </c:pt>
                <c:pt idx="976">
                  <c:v>1076</c:v>
                </c:pt>
                <c:pt idx="977">
                  <c:v>1077</c:v>
                </c:pt>
                <c:pt idx="978">
                  <c:v>1078</c:v>
                </c:pt>
                <c:pt idx="979">
                  <c:v>1079</c:v>
                </c:pt>
                <c:pt idx="980">
                  <c:v>1080</c:v>
                </c:pt>
                <c:pt idx="981">
                  <c:v>1081</c:v>
                </c:pt>
                <c:pt idx="982">
                  <c:v>1082</c:v>
                </c:pt>
                <c:pt idx="983">
                  <c:v>1083</c:v>
                </c:pt>
                <c:pt idx="984">
                  <c:v>1084</c:v>
                </c:pt>
                <c:pt idx="985">
                  <c:v>1085</c:v>
                </c:pt>
                <c:pt idx="986">
                  <c:v>1086</c:v>
                </c:pt>
                <c:pt idx="987">
                  <c:v>1087</c:v>
                </c:pt>
                <c:pt idx="988">
                  <c:v>1088</c:v>
                </c:pt>
                <c:pt idx="989">
                  <c:v>1089</c:v>
                </c:pt>
                <c:pt idx="990">
                  <c:v>1090</c:v>
                </c:pt>
                <c:pt idx="991">
                  <c:v>1091</c:v>
                </c:pt>
                <c:pt idx="992">
                  <c:v>1092</c:v>
                </c:pt>
                <c:pt idx="993">
                  <c:v>1093</c:v>
                </c:pt>
                <c:pt idx="994">
                  <c:v>1094</c:v>
                </c:pt>
                <c:pt idx="995">
                  <c:v>1095</c:v>
                </c:pt>
                <c:pt idx="996">
                  <c:v>1096</c:v>
                </c:pt>
                <c:pt idx="997">
                  <c:v>1097</c:v>
                </c:pt>
                <c:pt idx="998">
                  <c:v>1098</c:v>
                </c:pt>
                <c:pt idx="999">
                  <c:v>1099</c:v>
                </c:pt>
                <c:pt idx="1000">
                  <c:v>1100</c:v>
                </c:pt>
              </c:numCache>
            </c:numRef>
          </c:xVal>
          <c:yVal>
            <c:numRef>
              <c:f>'Filter Materion 280 20160217'!$B$2:$B$1004</c:f>
              <c:numCache>
                <c:formatCode>General</c:formatCode>
                <c:ptCount val="10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3.0000000000000001E-5</c:v>
                </c:pt>
                <c:pt idx="101">
                  <c:v>4.0000000000000003E-5</c:v>
                </c:pt>
                <c:pt idx="102">
                  <c:v>6.9999999999999994E-5</c:v>
                </c:pt>
                <c:pt idx="103">
                  <c:v>1.1E-4</c:v>
                </c:pt>
                <c:pt idx="104">
                  <c:v>1.7000000000000001E-4</c:v>
                </c:pt>
                <c:pt idx="105">
                  <c:v>2.5999999999999998E-4</c:v>
                </c:pt>
                <c:pt idx="106">
                  <c:v>4.0999999999999999E-4</c:v>
                </c:pt>
                <c:pt idx="107">
                  <c:v>6.4000000000000005E-4</c:v>
                </c:pt>
                <c:pt idx="108">
                  <c:v>1E-3</c:v>
                </c:pt>
                <c:pt idx="109">
                  <c:v>1.5399999999999999E-3</c:v>
                </c:pt>
                <c:pt idx="110">
                  <c:v>2.3700000000000001E-3</c:v>
                </c:pt>
                <c:pt idx="111">
                  <c:v>3.5699999999999998E-3</c:v>
                </c:pt>
                <c:pt idx="112">
                  <c:v>5.28E-3</c:v>
                </c:pt>
                <c:pt idx="113">
                  <c:v>7.5599999999999999E-3</c:v>
                </c:pt>
                <c:pt idx="114">
                  <c:v>1.0370000000000001E-2</c:v>
                </c:pt>
                <c:pt idx="115">
                  <c:v>1.056E-2</c:v>
                </c:pt>
                <c:pt idx="116">
                  <c:v>1.0800000000000001E-2</c:v>
                </c:pt>
                <c:pt idx="117">
                  <c:v>1.111E-2</c:v>
                </c:pt>
                <c:pt idx="118">
                  <c:v>1.149E-2</c:v>
                </c:pt>
                <c:pt idx="119">
                  <c:v>1.196E-2</c:v>
                </c:pt>
                <c:pt idx="120">
                  <c:v>1.2529999999999999E-2</c:v>
                </c:pt>
                <c:pt idx="121">
                  <c:v>1.3220000000000001E-2</c:v>
                </c:pt>
                <c:pt idx="122">
                  <c:v>1.404E-2</c:v>
                </c:pt>
                <c:pt idx="123">
                  <c:v>1.503E-2</c:v>
                </c:pt>
                <c:pt idx="124">
                  <c:v>1.6199999999999999E-2</c:v>
                </c:pt>
                <c:pt idx="125">
                  <c:v>1.7600000000000001E-2</c:v>
                </c:pt>
                <c:pt idx="126">
                  <c:v>1.9259999999999999E-2</c:v>
                </c:pt>
                <c:pt idx="127">
                  <c:v>2.1219999999999999E-2</c:v>
                </c:pt>
                <c:pt idx="128">
                  <c:v>2.3050000000000001E-2</c:v>
                </c:pt>
                <c:pt idx="129">
                  <c:v>2.5229999999999999E-2</c:v>
                </c:pt>
                <c:pt idx="130">
                  <c:v>2.7830000000000001E-2</c:v>
                </c:pt>
                <c:pt idx="131">
                  <c:v>3.0929999999999999E-2</c:v>
                </c:pt>
                <c:pt idx="132">
                  <c:v>3.4639999999999997E-2</c:v>
                </c:pt>
                <c:pt idx="133">
                  <c:v>3.9100000000000003E-2</c:v>
                </c:pt>
                <c:pt idx="134">
                  <c:v>4.4470000000000003E-2</c:v>
                </c:pt>
                <c:pt idx="135">
                  <c:v>5.0979999999999998E-2</c:v>
                </c:pt>
                <c:pt idx="136">
                  <c:v>5.892E-2</c:v>
                </c:pt>
                <c:pt idx="137">
                  <c:v>6.8790000000000004E-2</c:v>
                </c:pt>
                <c:pt idx="138">
                  <c:v>8.1019999999999995E-2</c:v>
                </c:pt>
                <c:pt idx="139">
                  <c:v>9.6229999999999996E-2</c:v>
                </c:pt>
                <c:pt idx="140">
                  <c:v>0.11526</c:v>
                </c:pt>
                <c:pt idx="141">
                  <c:v>0.13927999999999999</c:v>
                </c:pt>
                <c:pt idx="142">
                  <c:v>0.16914000000000001</c:v>
                </c:pt>
                <c:pt idx="143">
                  <c:v>0.20724999999999999</c:v>
                </c:pt>
                <c:pt idx="144">
                  <c:v>0.25635000000000002</c:v>
                </c:pt>
                <c:pt idx="145">
                  <c:v>0.32018000000000002</c:v>
                </c:pt>
                <c:pt idx="146">
                  <c:v>0.40403</c:v>
                </c:pt>
                <c:pt idx="147">
                  <c:v>0.51534000000000002</c:v>
                </c:pt>
                <c:pt idx="148">
                  <c:v>0.66476000000000002</c:v>
                </c:pt>
                <c:pt idx="149">
                  <c:v>0.86738000000000004</c:v>
                </c:pt>
                <c:pt idx="150">
                  <c:v>1.1459600000000001</c:v>
                </c:pt>
                <c:pt idx="151">
                  <c:v>1.53379</c:v>
                </c:pt>
                <c:pt idx="152">
                  <c:v>2.08039</c:v>
                </c:pt>
                <c:pt idx="153">
                  <c:v>2.8595700000000002</c:v>
                </c:pt>
                <c:pt idx="154">
                  <c:v>3.9805299999999999</c:v>
                </c:pt>
                <c:pt idx="155">
                  <c:v>5.6007300000000004</c:v>
                </c:pt>
                <c:pt idx="156">
                  <c:v>7.9139299999999997</c:v>
                </c:pt>
                <c:pt idx="157">
                  <c:v>11.18502</c:v>
                </c:pt>
                <c:pt idx="158">
                  <c:v>15.63161</c:v>
                </c:pt>
                <c:pt idx="159">
                  <c:v>21.24654</c:v>
                </c:pt>
                <c:pt idx="160">
                  <c:v>27.540030000000002</c:v>
                </c:pt>
                <c:pt idx="161">
                  <c:v>33.490549999999999</c:v>
                </c:pt>
                <c:pt idx="162">
                  <c:v>37.99353</c:v>
                </c:pt>
                <c:pt idx="163">
                  <c:v>40.584980000000002</c:v>
                </c:pt>
                <c:pt idx="164">
                  <c:v>41.546190000000003</c:v>
                </c:pt>
                <c:pt idx="165">
                  <c:v>41.506180000000001</c:v>
                </c:pt>
                <c:pt idx="166">
                  <c:v>41.035319999999999</c:v>
                </c:pt>
                <c:pt idx="167">
                  <c:v>40.5</c:v>
                </c:pt>
                <c:pt idx="168">
                  <c:v>40.084960000000002</c:v>
                </c:pt>
                <c:pt idx="169">
                  <c:v>39.827120000000001</c:v>
                </c:pt>
                <c:pt idx="170">
                  <c:v>39.748860000000001</c:v>
                </c:pt>
                <c:pt idx="171">
                  <c:v>39.821640000000002</c:v>
                </c:pt>
                <c:pt idx="172">
                  <c:v>39.998989999999999</c:v>
                </c:pt>
                <c:pt idx="173">
                  <c:v>40.227420000000002</c:v>
                </c:pt>
                <c:pt idx="174">
                  <c:v>40.453380000000003</c:v>
                </c:pt>
                <c:pt idx="175">
                  <c:v>40.628430000000002</c:v>
                </c:pt>
                <c:pt idx="176">
                  <c:v>40.709159999999997</c:v>
                </c:pt>
                <c:pt idx="177">
                  <c:v>40.667070000000002</c:v>
                </c:pt>
                <c:pt idx="178">
                  <c:v>40.490299999999998</c:v>
                </c:pt>
                <c:pt idx="179">
                  <c:v>40.174990000000001</c:v>
                </c:pt>
                <c:pt idx="180">
                  <c:v>39.727130000000002</c:v>
                </c:pt>
                <c:pt idx="181">
                  <c:v>39.15981</c:v>
                </c:pt>
                <c:pt idx="182">
                  <c:v>38.490250000000003</c:v>
                </c:pt>
                <c:pt idx="183">
                  <c:v>37.753909999999998</c:v>
                </c:pt>
                <c:pt idx="184">
                  <c:v>36.952739999999999</c:v>
                </c:pt>
                <c:pt idx="185">
                  <c:v>36.1023</c:v>
                </c:pt>
                <c:pt idx="186">
                  <c:v>35.215760000000003</c:v>
                </c:pt>
                <c:pt idx="187">
                  <c:v>34.303550000000001</c:v>
                </c:pt>
                <c:pt idx="188">
                  <c:v>33.373570000000001</c:v>
                </c:pt>
                <c:pt idx="189">
                  <c:v>32.43141</c:v>
                </c:pt>
                <c:pt idx="190">
                  <c:v>31.48086</c:v>
                </c:pt>
                <c:pt idx="191">
                  <c:v>30.524280000000001</c:v>
                </c:pt>
                <c:pt idx="192">
                  <c:v>29.565670000000001</c:v>
                </c:pt>
                <c:pt idx="193">
                  <c:v>28.60989</c:v>
                </c:pt>
                <c:pt idx="194">
                  <c:v>27.651589999999999</c:v>
                </c:pt>
                <c:pt idx="195">
                  <c:v>26.691079999999999</c:v>
                </c:pt>
                <c:pt idx="196">
                  <c:v>25.728629999999999</c:v>
                </c:pt>
                <c:pt idx="197">
                  <c:v>24.7605</c:v>
                </c:pt>
                <c:pt idx="198">
                  <c:v>23.792190000000002</c:v>
                </c:pt>
                <c:pt idx="199">
                  <c:v>22.824369999999998</c:v>
                </c:pt>
                <c:pt idx="200">
                  <c:v>21.85793</c:v>
                </c:pt>
                <c:pt idx="201">
                  <c:v>20.903289999999998</c:v>
                </c:pt>
                <c:pt idx="202">
                  <c:v>19.951540000000001</c:v>
                </c:pt>
                <c:pt idx="203">
                  <c:v>19.004000000000001</c:v>
                </c:pt>
                <c:pt idx="204">
                  <c:v>18.062059999999999</c:v>
                </c:pt>
                <c:pt idx="205">
                  <c:v>17.127220000000001</c:v>
                </c:pt>
                <c:pt idx="206">
                  <c:v>16.201000000000001</c:v>
                </c:pt>
                <c:pt idx="207">
                  <c:v>15.284929999999999</c:v>
                </c:pt>
                <c:pt idx="208">
                  <c:v>14.380520000000001</c:v>
                </c:pt>
                <c:pt idx="209">
                  <c:v>13.489269999999999</c:v>
                </c:pt>
                <c:pt idx="210">
                  <c:v>12.61834</c:v>
                </c:pt>
                <c:pt idx="211">
                  <c:v>11.75515</c:v>
                </c:pt>
                <c:pt idx="212">
                  <c:v>10.911110000000001</c:v>
                </c:pt>
                <c:pt idx="213">
                  <c:v>10.08794</c:v>
                </c:pt>
                <c:pt idx="214">
                  <c:v>9.2875399999999999</c:v>
                </c:pt>
                <c:pt idx="215">
                  <c:v>8.5120900000000006</c:v>
                </c:pt>
                <c:pt idx="216">
                  <c:v>7.7640399999999996</c:v>
                </c:pt>
                <c:pt idx="217">
                  <c:v>7.0460799999999999</c:v>
                </c:pt>
                <c:pt idx="218">
                  <c:v>6.3605900000000002</c:v>
                </c:pt>
                <c:pt idx="219">
                  <c:v>5.7066299999999996</c:v>
                </c:pt>
                <c:pt idx="220">
                  <c:v>5.0910299999999999</c:v>
                </c:pt>
                <c:pt idx="221">
                  <c:v>4.51633</c:v>
                </c:pt>
                <c:pt idx="222">
                  <c:v>3.9845299999999999</c:v>
                </c:pt>
                <c:pt idx="223">
                  <c:v>3.4968900000000001</c:v>
                </c:pt>
                <c:pt idx="224">
                  <c:v>3.0556899999999998</c:v>
                </c:pt>
                <c:pt idx="225">
                  <c:v>2.6582300000000001</c:v>
                </c:pt>
                <c:pt idx="226">
                  <c:v>2.3032599999999999</c:v>
                </c:pt>
                <c:pt idx="227">
                  <c:v>1.9922500000000001</c:v>
                </c:pt>
                <c:pt idx="228">
                  <c:v>1.7198599999999999</c:v>
                </c:pt>
                <c:pt idx="229">
                  <c:v>1.48156</c:v>
                </c:pt>
                <c:pt idx="230">
                  <c:v>1.2742199999999999</c:v>
                </c:pt>
                <c:pt idx="231">
                  <c:v>1.0946800000000001</c:v>
                </c:pt>
                <c:pt idx="232">
                  <c:v>0.93983000000000005</c:v>
                </c:pt>
                <c:pt idx="233">
                  <c:v>0.80669999999999997</c:v>
                </c:pt>
                <c:pt idx="234">
                  <c:v>0.69252999999999998</c:v>
                </c:pt>
                <c:pt idx="235">
                  <c:v>0.59482000000000002</c:v>
                </c:pt>
                <c:pt idx="236">
                  <c:v>0.51307000000000003</c:v>
                </c:pt>
                <c:pt idx="237">
                  <c:v>0.44320999999999999</c:v>
                </c:pt>
                <c:pt idx="238">
                  <c:v>0.38340000000000002</c:v>
                </c:pt>
                <c:pt idx="239">
                  <c:v>0.33215</c:v>
                </c:pt>
                <c:pt idx="240">
                  <c:v>0.28822999999999999</c:v>
                </c:pt>
                <c:pt idx="241">
                  <c:v>0.25053999999999998</c:v>
                </c:pt>
                <c:pt idx="242">
                  <c:v>0.21818000000000001</c:v>
                </c:pt>
                <c:pt idx="243">
                  <c:v>0.19036</c:v>
                </c:pt>
                <c:pt idx="244">
                  <c:v>0.16642000000000001</c:v>
                </c:pt>
                <c:pt idx="245">
                  <c:v>0.14546000000000001</c:v>
                </c:pt>
                <c:pt idx="246">
                  <c:v>0.12722</c:v>
                </c:pt>
                <c:pt idx="247">
                  <c:v>0.11149000000000001</c:v>
                </c:pt>
                <c:pt idx="248">
                  <c:v>9.7909999999999997E-2</c:v>
                </c:pt>
                <c:pt idx="249">
                  <c:v>8.616E-2</c:v>
                </c:pt>
                <c:pt idx="250">
                  <c:v>7.5980000000000006E-2</c:v>
                </c:pt>
                <c:pt idx="251">
                  <c:v>6.6360000000000002E-2</c:v>
                </c:pt>
                <c:pt idx="252">
                  <c:v>5.8110000000000002E-2</c:v>
                </c:pt>
                <c:pt idx="253">
                  <c:v>5.0999999999999997E-2</c:v>
                </c:pt>
                <c:pt idx="254">
                  <c:v>4.4859999999999997E-2</c:v>
                </c:pt>
                <c:pt idx="255">
                  <c:v>3.9910000000000001E-2</c:v>
                </c:pt>
                <c:pt idx="256">
                  <c:v>3.5659999999999997E-2</c:v>
                </c:pt>
                <c:pt idx="257">
                  <c:v>3.193E-2</c:v>
                </c:pt>
                <c:pt idx="258">
                  <c:v>2.8639999999999999E-2</c:v>
                </c:pt>
                <c:pt idx="259">
                  <c:v>2.5739999999999999E-2</c:v>
                </c:pt>
                <c:pt idx="260">
                  <c:v>2.317E-2</c:v>
                </c:pt>
                <c:pt idx="261">
                  <c:v>2.0899999999999998E-2</c:v>
                </c:pt>
                <c:pt idx="262">
                  <c:v>1.8880000000000001E-2</c:v>
                </c:pt>
                <c:pt idx="263">
                  <c:v>1.7090000000000001E-2</c:v>
                </c:pt>
                <c:pt idx="264">
                  <c:v>1.549E-2</c:v>
                </c:pt>
                <c:pt idx="265">
                  <c:v>1.4080000000000001E-2</c:v>
                </c:pt>
                <c:pt idx="266">
                  <c:v>1.2840000000000001E-2</c:v>
                </c:pt>
                <c:pt idx="267">
                  <c:v>1.1730000000000001E-2</c:v>
                </c:pt>
                <c:pt idx="268">
                  <c:v>1.073E-2</c:v>
                </c:pt>
                <c:pt idx="269">
                  <c:v>9.8300000000000002E-3</c:v>
                </c:pt>
                <c:pt idx="270">
                  <c:v>9.0200000000000002E-3</c:v>
                </c:pt>
                <c:pt idx="271">
                  <c:v>8.2900000000000005E-3</c:v>
                </c:pt>
                <c:pt idx="272">
                  <c:v>7.6299999999999996E-3</c:v>
                </c:pt>
                <c:pt idx="273">
                  <c:v>7.0299999999999998E-3</c:v>
                </c:pt>
                <c:pt idx="274">
                  <c:v>6.4900000000000001E-3</c:v>
                </c:pt>
                <c:pt idx="275">
                  <c:v>5.9899999999999997E-3</c:v>
                </c:pt>
                <c:pt idx="276">
                  <c:v>5.5399999999999998E-3</c:v>
                </c:pt>
                <c:pt idx="277">
                  <c:v>5.1000000000000004E-3</c:v>
                </c:pt>
                <c:pt idx="278">
                  <c:v>4.7099999999999998E-3</c:v>
                </c:pt>
                <c:pt idx="279">
                  <c:v>4.3600000000000002E-3</c:v>
                </c:pt>
                <c:pt idx="280">
                  <c:v>4.0299999999999997E-3</c:v>
                </c:pt>
                <c:pt idx="281">
                  <c:v>3.7399999999999998E-3</c:v>
                </c:pt>
                <c:pt idx="282">
                  <c:v>3.47E-3</c:v>
                </c:pt>
                <c:pt idx="283">
                  <c:v>3.2200000000000002E-3</c:v>
                </c:pt>
                <c:pt idx="284">
                  <c:v>2.99E-3</c:v>
                </c:pt>
                <c:pt idx="285">
                  <c:v>2.7899999999999999E-3</c:v>
                </c:pt>
                <c:pt idx="286">
                  <c:v>2.5999999999999999E-3</c:v>
                </c:pt>
                <c:pt idx="287">
                  <c:v>2.4199999999999998E-3</c:v>
                </c:pt>
                <c:pt idx="288">
                  <c:v>2.2699999999999999E-3</c:v>
                </c:pt>
                <c:pt idx="289">
                  <c:v>2.1299999999999999E-3</c:v>
                </c:pt>
                <c:pt idx="290">
                  <c:v>2E-3</c:v>
                </c:pt>
                <c:pt idx="291">
                  <c:v>1.8799999999999999E-3</c:v>
                </c:pt>
                <c:pt idx="292">
                  <c:v>1.7600000000000001E-3</c:v>
                </c:pt>
                <c:pt idx="293">
                  <c:v>1.66E-3</c:v>
                </c:pt>
                <c:pt idx="294">
                  <c:v>1.57E-3</c:v>
                </c:pt>
                <c:pt idx="295">
                  <c:v>1.48E-3</c:v>
                </c:pt>
                <c:pt idx="296">
                  <c:v>1.39E-3</c:v>
                </c:pt>
                <c:pt idx="297">
                  <c:v>1.32E-3</c:v>
                </c:pt>
                <c:pt idx="298">
                  <c:v>1.24E-3</c:v>
                </c:pt>
                <c:pt idx="299">
                  <c:v>1.1800000000000001E-3</c:v>
                </c:pt>
                <c:pt idx="300">
                  <c:v>1.1199999999999999E-3</c:v>
                </c:pt>
                <c:pt idx="301">
                  <c:v>1.06E-3</c:v>
                </c:pt>
                <c:pt idx="302">
                  <c:v>1E-3</c:v>
                </c:pt>
                <c:pt idx="303">
                  <c:v>9.5E-4</c:v>
                </c:pt>
                <c:pt idx="304">
                  <c:v>9.1E-4</c:v>
                </c:pt>
                <c:pt idx="305">
                  <c:v>8.5999999999999998E-4</c:v>
                </c:pt>
                <c:pt idx="306">
                  <c:v>8.1999999999999998E-4</c:v>
                </c:pt>
                <c:pt idx="307">
                  <c:v>7.7999999999999999E-4</c:v>
                </c:pt>
                <c:pt idx="308">
                  <c:v>7.3999999999999999E-4</c:v>
                </c:pt>
                <c:pt idx="309">
                  <c:v>7.1000000000000002E-4</c:v>
                </c:pt>
                <c:pt idx="310">
                  <c:v>6.8000000000000005E-4</c:v>
                </c:pt>
                <c:pt idx="311">
                  <c:v>6.4999999999999997E-4</c:v>
                </c:pt>
                <c:pt idx="312">
                  <c:v>6.2E-4</c:v>
                </c:pt>
                <c:pt idx="313">
                  <c:v>5.9000000000000003E-4</c:v>
                </c:pt>
                <c:pt idx="314">
                  <c:v>5.5999999999999995E-4</c:v>
                </c:pt>
                <c:pt idx="315">
                  <c:v>5.4000000000000001E-4</c:v>
                </c:pt>
                <c:pt idx="316">
                  <c:v>5.1000000000000004E-4</c:v>
                </c:pt>
                <c:pt idx="317">
                  <c:v>4.8999999999999998E-4</c:v>
                </c:pt>
                <c:pt idx="318">
                  <c:v>4.6999999999999999E-4</c:v>
                </c:pt>
                <c:pt idx="319">
                  <c:v>4.4999999999999999E-4</c:v>
                </c:pt>
                <c:pt idx="320">
                  <c:v>4.2999999999999999E-4</c:v>
                </c:pt>
                <c:pt idx="321">
                  <c:v>4.0999999999999999E-4</c:v>
                </c:pt>
                <c:pt idx="322">
                  <c:v>4.0000000000000002E-4</c:v>
                </c:pt>
                <c:pt idx="323">
                  <c:v>3.8000000000000002E-4</c:v>
                </c:pt>
                <c:pt idx="324">
                  <c:v>3.6000000000000002E-4</c:v>
                </c:pt>
                <c:pt idx="325">
                  <c:v>3.5E-4</c:v>
                </c:pt>
                <c:pt idx="326">
                  <c:v>3.4000000000000002E-4</c:v>
                </c:pt>
                <c:pt idx="327">
                  <c:v>3.2000000000000003E-4</c:v>
                </c:pt>
                <c:pt idx="328">
                  <c:v>3.1E-4</c:v>
                </c:pt>
                <c:pt idx="329">
                  <c:v>2.9999999999999997E-4</c:v>
                </c:pt>
                <c:pt idx="330">
                  <c:v>2.9E-4</c:v>
                </c:pt>
                <c:pt idx="331">
                  <c:v>2.7999999999999998E-4</c:v>
                </c:pt>
                <c:pt idx="332">
                  <c:v>2.7E-4</c:v>
                </c:pt>
                <c:pt idx="333">
                  <c:v>2.5999999999999998E-4</c:v>
                </c:pt>
                <c:pt idx="334">
                  <c:v>2.5000000000000001E-4</c:v>
                </c:pt>
                <c:pt idx="335">
                  <c:v>2.5000000000000001E-4</c:v>
                </c:pt>
                <c:pt idx="336">
                  <c:v>2.4000000000000001E-4</c:v>
                </c:pt>
                <c:pt idx="337">
                  <c:v>2.3000000000000001E-4</c:v>
                </c:pt>
                <c:pt idx="338">
                  <c:v>2.2000000000000001E-4</c:v>
                </c:pt>
                <c:pt idx="339">
                  <c:v>2.2000000000000001E-4</c:v>
                </c:pt>
                <c:pt idx="340">
                  <c:v>2.1000000000000001E-4</c:v>
                </c:pt>
                <c:pt idx="341">
                  <c:v>2.0000000000000001E-4</c:v>
                </c:pt>
                <c:pt idx="342">
                  <c:v>2.0000000000000001E-4</c:v>
                </c:pt>
                <c:pt idx="343">
                  <c:v>1.9000000000000001E-4</c:v>
                </c:pt>
                <c:pt idx="344">
                  <c:v>1.9000000000000001E-4</c:v>
                </c:pt>
                <c:pt idx="345">
                  <c:v>1.8000000000000001E-4</c:v>
                </c:pt>
                <c:pt idx="346">
                  <c:v>1.8000000000000001E-4</c:v>
                </c:pt>
                <c:pt idx="347">
                  <c:v>1.7000000000000001E-4</c:v>
                </c:pt>
                <c:pt idx="348">
                  <c:v>1.6000000000000001E-4</c:v>
                </c:pt>
                <c:pt idx="349">
                  <c:v>1.6000000000000001E-4</c:v>
                </c:pt>
                <c:pt idx="350">
                  <c:v>1.6000000000000001E-4</c:v>
                </c:pt>
                <c:pt idx="351">
                  <c:v>1.4999999999999999E-4</c:v>
                </c:pt>
                <c:pt idx="352">
                  <c:v>1.4999999999999999E-4</c:v>
                </c:pt>
                <c:pt idx="353">
                  <c:v>1.3999999999999999E-4</c:v>
                </c:pt>
                <c:pt idx="354">
                  <c:v>1.3999999999999999E-4</c:v>
                </c:pt>
                <c:pt idx="355">
                  <c:v>1.3999999999999999E-4</c:v>
                </c:pt>
                <c:pt idx="356">
                  <c:v>1.2999999999999999E-4</c:v>
                </c:pt>
                <c:pt idx="357">
                  <c:v>1.2999999999999999E-4</c:v>
                </c:pt>
                <c:pt idx="358">
                  <c:v>1.2999999999999999E-4</c:v>
                </c:pt>
                <c:pt idx="359">
                  <c:v>1.2E-4</c:v>
                </c:pt>
                <c:pt idx="360">
                  <c:v>1.2E-4</c:v>
                </c:pt>
                <c:pt idx="361">
                  <c:v>1.2E-4</c:v>
                </c:pt>
                <c:pt idx="362">
                  <c:v>1.1E-4</c:v>
                </c:pt>
                <c:pt idx="363">
                  <c:v>1.1E-4</c:v>
                </c:pt>
                <c:pt idx="364">
                  <c:v>1.1E-4</c:v>
                </c:pt>
                <c:pt idx="365">
                  <c:v>1.1E-4</c:v>
                </c:pt>
                <c:pt idx="366">
                  <c:v>1E-4</c:v>
                </c:pt>
                <c:pt idx="367">
                  <c:v>1E-4</c:v>
                </c:pt>
                <c:pt idx="368">
                  <c:v>1E-4</c:v>
                </c:pt>
                <c:pt idx="369">
                  <c:v>1E-4</c:v>
                </c:pt>
                <c:pt idx="370">
                  <c:v>9.0000000000000006E-5</c:v>
                </c:pt>
                <c:pt idx="371">
                  <c:v>9.0000000000000006E-5</c:v>
                </c:pt>
                <c:pt idx="372">
                  <c:v>9.0000000000000006E-5</c:v>
                </c:pt>
                <c:pt idx="373">
                  <c:v>9.0000000000000006E-5</c:v>
                </c:pt>
                <c:pt idx="374">
                  <c:v>9.0000000000000006E-5</c:v>
                </c:pt>
                <c:pt idx="375">
                  <c:v>8.0000000000000007E-5</c:v>
                </c:pt>
                <c:pt idx="376">
                  <c:v>8.0000000000000007E-5</c:v>
                </c:pt>
                <c:pt idx="377">
                  <c:v>8.0000000000000007E-5</c:v>
                </c:pt>
                <c:pt idx="378">
                  <c:v>8.0000000000000007E-5</c:v>
                </c:pt>
                <c:pt idx="379">
                  <c:v>8.0000000000000007E-5</c:v>
                </c:pt>
                <c:pt idx="380">
                  <c:v>8.0000000000000007E-5</c:v>
                </c:pt>
                <c:pt idx="381">
                  <c:v>6.9999999999999994E-5</c:v>
                </c:pt>
                <c:pt idx="382">
                  <c:v>6.9999999999999994E-5</c:v>
                </c:pt>
                <c:pt idx="383">
                  <c:v>6.9999999999999994E-5</c:v>
                </c:pt>
                <c:pt idx="384">
                  <c:v>6.9999999999999994E-5</c:v>
                </c:pt>
                <c:pt idx="385">
                  <c:v>6.9999999999999994E-5</c:v>
                </c:pt>
                <c:pt idx="386">
                  <c:v>6.9999999999999994E-5</c:v>
                </c:pt>
                <c:pt idx="387">
                  <c:v>6.9999999999999994E-5</c:v>
                </c:pt>
                <c:pt idx="388">
                  <c:v>6.9999999999999994E-5</c:v>
                </c:pt>
                <c:pt idx="389">
                  <c:v>6.0000000000000002E-5</c:v>
                </c:pt>
                <c:pt idx="390">
                  <c:v>6.0000000000000002E-5</c:v>
                </c:pt>
                <c:pt idx="391">
                  <c:v>6.0000000000000002E-5</c:v>
                </c:pt>
                <c:pt idx="392">
                  <c:v>6.0000000000000002E-5</c:v>
                </c:pt>
                <c:pt idx="393">
                  <c:v>6.0000000000000002E-5</c:v>
                </c:pt>
                <c:pt idx="394">
                  <c:v>6.0000000000000002E-5</c:v>
                </c:pt>
                <c:pt idx="395">
                  <c:v>6.0000000000000002E-5</c:v>
                </c:pt>
                <c:pt idx="396">
                  <c:v>6.0000000000000002E-5</c:v>
                </c:pt>
                <c:pt idx="397">
                  <c:v>6.0000000000000002E-5</c:v>
                </c:pt>
                <c:pt idx="398">
                  <c:v>6.0000000000000002E-5</c:v>
                </c:pt>
                <c:pt idx="399">
                  <c:v>5.0000000000000002E-5</c:v>
                </c:pt>
                <c:pt idx="400">
                  <c:v>5.0000000000000002E-5</c:v>
                </c:pt>
                <c:pt idx="401">
                  <c:v>5.0000000000000002E-5</c:v>
                </c:pt>
                <c:pt idx="402">
                  <c:v>5.0000000000000002E-5</c:v>
                </c:pt>
                <c:pt idx="403">
                  <c:v>5.0000000000000002E-5</c:v>
                </c:pt>
                <c:pt idx="404">
                  <c:v>5.0000000000000002E-5</c:v>
                </c:pt>
                <c:pt idx="405">
                  <c:v>5.0000000000000002E-5</c:v>
                </c:pt>
                <c:pt idx="406">
                  <c:v>5.0000000000000002E-5</c:v>
                </c:pt>
                <c:pt idx="407">
                  <c:v>5.0000000000000002E-5</c:v>
                </c:pt>
                <c:pt idx="408">
                  <c:v>5.0000000000000002E-5</c:v>
                </c:pt>
                <c:pt idx="409">
                  <c:v>5.0000000000000002E-5</c:v>
                </c:pt>
                <c:pt idx="410">
                  <c:v>5.0000000000000002E-5</c:v>
                </c:pt>
                <c:pt idx="411">
                  <c:v>5.0000000000000002E-5</c:v>
                </c:pt>
                <c:pt idx="412">
                  <c:v>5.0000000000000002E-5</c:v>
                </c:pt>
                <c:pt idx="413">
                  <c:v>5.0000000000000002E-5</c:v>
                </c:pt>
                <c:pt idx="414">
                  <c:v>4.0000000000000003E-5</c:v>
                </c:pt>
                <c:pt idx="415">
                  <c:v>4.0000000000000003E-5</c:v>
                </c:pt>
                <c:pt idx="416">
                  <c:v>4.0000000000000003E-5</c:v>
                </c:pt>
                <c:pt idx="417">
                  <c:v>4.0000000000000003E-5</c:v>
                </c:pt>
                <c:pt idx="418">
                  <c:v>4.0000000000000003E-5</c:v>
                </c:pt>
                <c:pt idx="419">
                  <c:v>4.0000000000000003E-5</c:v>
                </c:pt>
                <c:pt idx="420">
                  <c:v>4.0000000000000003E-5</c:v>
                </c:pt>
                <c:pt idx="421">
                  <c:v>4.0000000000000003E-5</c:v>
                </c:pt>
                <c:pt idx="422">
                  <c:v>4.0000000000000003E-5</c:v>
                </c:pt>
                <c:pt idx="423">
                  <c:v>4.0000000000000003E-5</c:v>
                </c:pt>
                <c:pt idx="424">
                  <c:v>4.0000000000000003E-5</c:v>
                </c:pt>
                <c:pt idx="425">
                  <c:v>4.0000000000000003E-5</c:v>
                </c:pt>
                <c:pt idx="426">
                  <c:v>4.0000000000000003E-5</c:v>
                </c:pt>
                <c:pt idx="427">
                  <c:v>4.0000000000000003E-5</c:v>
                </c:pt>
                <c:pt idx="428">
                  <c:v>4.0000000000000003E-5</c:v>
                </c:pt>
                <c:pt idx="429">
                  <c:v>4.0000000000000003E-5</c:v>
                </c:pt>
                <c:pt idx="430">
                  <c:v>4.0000000000000003E-5</c:v>
                </c:pt>
                <c:pt idx="431">
                  <c:v>4.0000000000000003E-5</c:v>
                </c:pt>
                <c:pt idx="432">
                  <c:v>4.0000000000000003E-5</c:v>
                </c:pt>
                <c:pt idx="433">
                  <c:v>4.0000000000000003E-5</c:v>
                </c:pt>
                <c:pt idx="434">
                  <c:v>4.0000000000000003E-5</c:v>
                </c:pt>
                <c:pt idx="435">
                  <c:v>3.0000000000000001E-5</c:v>
                </c:pt>
                <c:pt idx="436">
                  <c:v>3.0000000000000001E-5</c:v>
                </c:pt>
                <c:pt idx="437">
                  <c:v>3.0000000000000001E-5</c:v>
                </c:pt>
                <c:pt idx="438">
                  <c:v>3.0000000000000001E-5</c:v>
                </c:pt>
                <c:pt idx="439">
                  <c:v>3.0000000000000001E-5</c:v>
                </c:pt>
                <c:pt idx="440">
                  <c:v>3.0000000000000001E-5</c:v>
                </c:pt>
                <c:pt idx="441">
                  <c:v>3.0000000000000001E-5</c:v>
                </c:pt>
                <c:pt idx="442">
                  <c:v>3.0000000000000001E-5</c:v>
                </c:pt>
                <c:pt idx="443">
                  <c:v>3.0000000000000001E-5</c:v>
                </c:pt>
                <c:pt idx="444">
                  <c:v>3.0000000000000001E-5</c:v>
                </c:pt>
                <c:pt idx="445">
                  <c:v>3.0000000000000001E-5</c:v>
                </c:pt>
                <c:pt idx="446">
                  <c:v>3.0000000000000001E-5</c:v>
                </c:pt>
                <c:pt idx="447">
                  <c:v>3.0000000000000001E-5</c:v>
                </c:pt>
                <c:pt idx="448">
                  <c:v>3.0000000000000001E-5</c:v>
                </c:pt>
                <c:pt idx="449">
                  <c:v>3.0000000000000001E-5</c:v>
                </c:pt>
                <c:pt idx="450">
                  <c:v>3.0000000000000001E-5</c:v>
                </c:pt>
                <c:pt idx="451">
                  <c:v>3.0000000000000001E-5</c:v>
                </c:pt>
                <c:pt idx="452">
                  <c:v>3.0000000000000001E-5</c:v>
                </c:pt>
                <c:pt idx="453">
                  <c:v>3.0000000000000001E-5</c:v>
                </c:pt>
                <c:pt idx="454">
                  <c:v>3.0000000000000001E-5</c:v>
                </c:pt>
                <c:pt idx="455">
                  <c:v>3.0000000000000001E-5</c:v>
                </c:pt>
                <c:pt idx="456">
                  <c:v>3.0000000000000001E-5</c:v>
                </c:pt>
                <c:pt idx="457">
                  <c:v>3.0000000000000001E-5</c:v>
                </c:pt>
                <c:pt idx="458">
                  <c:v>3.0000000000000001E-5</c:v>
                </c:pt>
                <c:pt idx="459">
                  <c:v>3.0000000000000001E-5</c:v>
                </c:pt>
                <c:pt idx="460">
                  <c:v>3.0000000000000001E-5</c:v>
                </c:pt>
                <c:pt idx="461">
                  <c:v>3.0000000000000001E-5</c:v>
                </c:pt>
                <c:pt idx="462">
                  <c:v>3.0000000000000001E-5</c:v>
                </c:pt>
                <c:pt idx="463">
                  <c:v>3.0000000000000001E-5</c:v>
                </c:pt>
                <c:pt idx="464">
                  <c:v>3.0000000000000001E-5</c:v>
                </c:pt>
                <c:pt idx="465">
                  <c:v>3.0000000000000001E-5</c:v>
                </c:pt>
                <c:pt idx="466">
                  <c:v>3.0000000000000001E-5</c:v>
                </c:pt>
                <c:pt idx="467">
                  <c:v>3.0000000000000001E-5</c:v>
                </c:pt>
                <c:pt idx="468">
                  <c:v>3.0000000000000001E-5</c:v>
                </c:pt>
                <c:pt idx="469">
                  <c:v>3.0000000000000001E-5</c:v>
                </c:pt>
                <c:pt idx="470">
                  <c:v>3.0000000000000001E-5</c:v>
                </c:pt>
                <c:pt idx="471">
                  <c:v>3.0000000000000001E-5</c:v>
                </c:pt>
                <c:pt idx="472">
                  <c:v>3.0000000000000001E-5</c:v>
                </c:pt>
                <c:pt idx="473">
                  <c:v>3.0000000000000001E-5</c:v>
                </c:pt>
                <c:pt idx="474">
                  <c:v>3.0000000000000001E-5</c:v>
                </c:pt>
                <c:pt idx="475">
                  <c:v>3.0000000000000001E-5</c:v>
                </c:pt>
                <c:pt idx="476">
                  <c:v>3.0000000000000001E-5</c:v>
                </c:pt>
                <c:pt idx="477">
                  <c:v>2.0000000000000002E-5</c:v>
                </c:pt>
                <c:pt idx="478">
                  <c:v>2.0000000000000002E-5</c:v>
                </c:pt>
                <c:pt idx="479">
                  <c:v>2.0000000000000002E-5</c:v>
                </c:pt>
                <c:pt idx="480">
                  <c:v>2.0000000000000002E-5</c:v>
                </c:pt>
                <c:pt idx="481">
                  <c:v>2.0000000000000002E-5</c:v>
                </c:pt>
                <c:pt idx="482">
                  <c:v>2.0000000000000002E-5</c:v>
                </c:pt>
                <c:pt idx="483">
                  <c:v>2.0000000000000002E-5</c:v>
                </c:pt>
                <c:pt idx="484">
                  <c:v>2.0000000000000002E-5</c:v>
                </c:pt>
                <c:pt idx="485">
                  <c:v>2.0000000000000002E-5</c:v>
                </c:pt>
                <c:pt idx="486">
                  <c:v>2.0000000000000002E-5</c:v>
                </c:pt>
                <c:pt idx="487">
                  <c:v>2.0000000000000002E-5</c:v>
                </c:pt>
                <c:pt idx="488">
                  <c:v>2.0000000000000002E-5</c:v>
                </c:pt>
                <c:pt idx="489">
                  <c:v>2.0000000000000002E-5</c:v>
                </c:pt>
                <c:pt idx="490">
                  <c:v>2.0000000000000002E-5</c:v>
                </c:pt>
                <c:pt idx="491">
                  <c:v>2.0000000000000002E-5</c:v>
                </c:pt>
                <c:pt idx="492">
                  <c:v>2.0000000000000002E-5</c:v>
                </c:pt>
                <c:pt idx="493">
                  <c:v>2.0000000000000002E-5</c:v>
                </c:pt>
                <c:pt idx="494">
                  <c:v>2.0000000000000002E-5</c:v>
                </c:pt>
                <c:pt idx="495">
                  <c:v>2.0000000000000002E-5</c:v>
                </c:pt>
                <c:pt idx="496">
                  <c:v>2.0000000000000002E-5</c:v>
                </c:pt>
                <c:pt idx="497">
                  <c:v>2.0000000000000002E-5</c:v>
                </c:pt>
                <c:pt idx="498">
                  <c:v>2.0000000000000002E-5</c:v>
                </c:pt>
                <c:pt idx="499">
                  <c:v>2.0000000000000002E-5</c:v>
                </c:pt>
                <c:pt idx="500">
                  <c:v>2.0000000000000002E-5</c:v>
                </c:pt>
                <c:pt idx="501">
                  <c:v>2.0000000000000002E-5</c:v>
                </c:pt>
                <c:pt idx="502">
                  <c:v>2.0000000000000002E-5</c:v>
                </c:pt>
                <c:pt idx="503">
                  <c:v>2.0000000000000002E-5</c:v>
                </c:pt>
                <c:pt idx="504">
                  <c:v>2.0000000000000002E-5</c:v>
                </c:pt>
                <c:pt idx="505">
                  <c:v>2.0000000000000002E-5</c:v>
                </c:pt>
                <c:pt idx="506">
                  <c:v>2.0000000000000002E-5</c:v>
                </c:pt>
                <c:pt idx="507">
                  <c:v>2.0000000000000002E-5</c:v>
                </c:pt>
                <c:pt idx="508">
                  <c:v>2.0000000000000002E-5</c:v>
                </c:pt>
                <c:pt idx="509">
                  <c:v>2.0000000000000002E-5</c:v>
                </c:pt>
                <c:pt idx="510">
                  <c:v>2.0000000000000002E-5</c:v>
                </c:pt>
                <c:pt idx="511">
                  <c:v>2.0000000000000002E-5</c:v>
                </c:pt>
                <c:pt idx="512">
                  <c:v>2.0000000000000002E-5</c:v>
                </c:pt>
                <c:pt idx="513">
                  <c:v>2.0000000000000002E-5</c:v>
                </c:pt>
                <c:pt idx="514">
                  <c:v>2.0000000000000002E-5</c:v>
                </c:pt>
                <c:pt idx="515">
                  <c:v>2.0000000000000002E-5</c:v>
                </c:pt>
                <c:pt idx="516">
                  <c:v>2.0000000000000002E-5</c:v>
                </c:pt>
                <c:pt idx="517">
                  <c:v>2.0000000000000002E-5</c:v>
                </c:pt>
                <c:pt idx="518">
                  <c:v>2.0000000000000002E-5</c:v>
                </c:pt>
                <c:pt idx="519">
                  <c:v>2.0000000000000002E-5</c:v>
                </c:pt>
                <c:pt idx="520">
                  <c:v>2.0000000000000002E-5</c:v>
                </c:pt>
                <c:pt idx="521">
                  <c:v>2.0000000000000002E-5</c:v>
                </c:pt>
                <c:pt idx="522">
                  <c:v>2.0000000000000002E-5</c:v>
                </c:pt>
                <c:pt idx="523">
                  <c:v>2.0000000000000002E-5</c:v>
                </c:pt>
                <c:pt idx="524">
                  <c:v>2.0000000000000002E-5</c:v>
                </c:pt>
                <c:pt idx="525">
                  <c:v>2.0000000000000002E-5</c:v>
                </c:pt>
                <c:pt idx="526">
                  <c:v>2.0000000000000002E-5</c:v>
                </c:pt>
                <c:pt idx="527">
                  <c:v>2.0000000000000002E-5</c:v>
                </c:pt>
                <c:pt idx="528">
                  <c:v>2.0000000000000002E-5</c:v>
                </c:pt>
                <c:pt idx="529">
                  <c:v>2.0000000000000002E-5</c:v>
                </c:pt>
                <c:pt idx="530">
                  <c:v>2.0000000000000002E-5</c:v>
                </c:pt>
                <c:pt idx="531">
                  <c:v>2.0000000000000002E-5</c:v>
                </c:pt>
                <c:pt idx="532">
                  <c:v>2.0000000000000002E-5</c:v>
                </c:pt>
                <c:pt idx="533">
                  <c:v>2.0000000000000002E-5</c:v>
                </c:pt>
                <c:pt idx="534">
                  <c:v>2.0000000000000002E-5</c:v>
                </c:pt>
                <c:pt idx="535">
                  <c:v>2.0000000000000002E-5</c:v>
                </c:pt>
                <c:pt idx="536">
                  <c:v>2.0000000000000002E-5</c:v>
                </c:pt>
                <c:pt idx="537">
                  <c:v>2.0000000000000002E-5</c:v>
                </c:pt>
                <c:pt idx="538">
                  <c:v>2.0000000000000002E-5</c:v>
                </c:pt>
                <c:pt idx="539">
                  <c:v>2.0000000000000002E-5</c:v>
                </c:pt>
                <c:pt idx="540">
                  <c:v>2.0000000000000002E-5</c:v>
                </c:pt>
                <c:pt idx="541">
                  <c:v>2.0000000000000002E-5</c:v>
                </c:pt>
                <c:pt idx="542">
                  <c:v>2.0000000000000002E-5</c:v>
                </c:pt>
                <c:pt idx="543">
                  <c:v>2.0000000000000002E-5</c:v>
                </c:pt>
                <c:pt idx="544">
                  <c:v>2.0000000000000002E-5</c:v>
                </c:pt>
                <c:pt idx="545">
                  <c:v>2.0000000000000002E-5</c:v>
                </c:pt>
                <c:pt idx="546">
                  <c:v>2.0000000000000002E-5</c:v>
                </c:pt>
                <c:pt idx="547">
                  <c:v>2.0000000000000002E-5</c:v>
                </c:pt>
                <c:pt idx="548">
                  <c:v>2.0000000000000002E-5</c:v>
                </c:pt>
                <c:pt idx="549">
                  <c:v>2.0000000000000002E-5</c:v>
                </c:pt>
                <c:pt idx="550">
                  <c:v>2.0000000000000002E-5</c:v>
                </c:pt>
                <c:pt idx="551">
                  <c:v>2.0000000000000002E-5</c:v>
                </c:pt>
                <c:pt idx="552">
                  <c:v>2.0000000000000002E-5</c:v>
                </c:pt>
                <c:pt idx="553">
                  <c:v>2.0000000000000002E-5</c:v>
                </c:pt>
                <c:pt idx="554">
                  <c:v>2.0000000000000002E-5</c:v>
                </c:pt>
                <c:pt idx="555">
                  <c:v>2.0000000000000002E-5</c:v>
                </c:pt>
                <c:pt idx="556">
                  <c:v>2.0000000000000002E-5</c:v>
                </c:pt>
                <c:pt idx="557">
                  <c:v>2.0000000000000002E-5</c:v>
                </c:pt>
                <c:pt idx="558">
                  <c:v>2.0000000000000002E-5</c:v>
                </c:pt>
                <c:pt idx="559">
                  <c:v>2.0000000000000002E-5</c:v>
                </c:pt>
                <c:pt idx="560">
                  <c:v>2.0000000000000002E-5</c:v>
                </c:pt>
                <c:pt idx="561">
                  <c:v>2.0000000000000002E-5</c:v>
                </c:pt>
                <c:pt idx="562">
                  <c:v>2.0000000000000002E-5</c:v>
                </c:pt>
                <c:pt idx="563">
                  <c:v>2.0000000000000002E-5</c:v>
                </c:pt>
                <c:pt idx="564">
                  <c:v>2.0000000000000002E-5</c:v>
                </c:pt>
                <c:pt idx="565">
                  <c:v>2.0000000000000002E-5</c:v>
                </c:pt>
                <c:pt idx="566">
                  <c:v>2.0000000000000002E-5</c:v>
                </c:pt>
                <c:pt idx="567">
                  <c:v>2.0000000000000002E-5</c:v>
                </c:pt>
                <c:pt idx="568">
                  <c:v>2.0000000000000002E-5</c:v>
                </c:pt>
                <c:pt idx="569">
                  <c:v>2.0000000000000002E-5</c:v>
                </c:pt>
                <c:pt idx="570">
                  <c:v>2.0000000000000002E-5</c:v>
                </c:pt>
                <c:pt idx="571">
                  <c:v>2.0000000000000002E-5</c:v>
                </c:pt>
                <c:pt idx="572">
                  <c:v>2.0000000000000002E-5</c:v>
                </c:pt>
                <c:pt idx="573">
                  <c:v>2.0000000000000002E-5</c:v>
                </c:pt>
                <c:pt idx="574">
                  <c:v>2.0000000000000002E-5</c:v>
                </c:pt>
                <c:pt idx="575">
                  <c:v>2.0000000000000002E-5</c:v>
                </c:pt>
                <c:pt idx="576">
                  <c:v>2.0000000000000002E-5</c:v>
                </c:pt>
                <c:pt idx="577">
                  <c:v>2.0000000000000002E-5</c:v>
                </c:pt>
                <c:pt idx="578">
                  <c:v>2.0000000000000002E-5</c:v>
                </c:pt>
                <c:pt idx="579">
                  <c:v>2.0000000000000002E-5</c:v>
                </c:pt>
                <c:pt idx="580">
                  <c:v>2.0000000000000002E-5</c:v>
                </c:pt>
                <c:pt idx="581">
                  <c:v>2.0000000000000002E-5</c:v>
                </c:pt>
                <c:pt idx="582">
                  <c:v>2.0000000000000002E-5</c:v>
                </c:pt>
                <c:pt idx="583">
                  <c:v>2.0000000000000002E-5</c:v>
                </c:pt>
                <c:pt idx="584">
                  <c:v>2.0000000000000002E-5</c:v>
                </c:pt>
                <c:pt idx="585">
                  <c:v>2.0000000000000002E-5</c:v>
                </c:pt>
                <c:pt idx="586">
                  <c:v>2.0000000000000002E-5</c:v>
                </c:pt>
                <c:pt idx="587">
                  <c:v>2.0000000000000002E-5</c:v>
                </c:pt>
                <c:pt idx="588">
                  <c:v>2.0000000000000002E-5</c:v>
                </c:pt>
                <c:pt idx="589">
                  <c:v>2.0000000000000002E-5</c:v>
                </c:pt>
                <c:pt idx="590">
                  <c:v>2.0000000000000002E-5</c:v>
                </c:pt>
                <c:pt idx="591">
                  <c:v>2.0000000000000002E-5</c:v>
                </c:pt>
                <c:pt idx="592">
                  <c:v>2.0000000000000002E-5</c:v>
                </c:pt>
                <c:pt idx="593">
                  <c:v>2.0000000000000002E-5</c:v>
                </c:pt>
                <c:pt idx="594">
                  <c:v>2.0000000000000002E-5</c:v>
                </c:pt>
                <c:pt idx="595">
                  <c:v>2.0000000000000002E-5</c:v>
                </c:pt>
                <c:pt idx="596">
                  <c:v>2.0000000000000002E-5</c:v>
                </c:pt>
                <c:pt idx="597">
                  <c:v>2.0000000000000002E-5</c:v>
                </c:pt>
                <c:pt idx="598">
                  <c:v>2.0000000000000002E-5</c:v>
                </c:pt>
                <c:pt idx="599">
                  <c:v>2.0000000000000002E-5</c:v>
                </c:pt>
                <c:pt idx="600">
                  <c:v>2.0000000000000002E-5</c:v>
                </c:pt>
                <c:pt idx="601">
                  <c:v>2.0000000000000002E-5</c:v>
                </c:pt>
                <c:pt idx="602">
                  <c:v>2.0000000000000002E-5</c:v>
                </c:pt>
                <c:pt idx="603">
                  <c:v>2.0000000000000002E-5</c:v>
                </c:pt>
                <c:pt idx="604">
                  <c:v>2.0000000000000002E-5</c:v>
                </c:pt>
                <c:pt idx="605">
                  <c:v>2.0000000000000002E-5</c:v>
                </c:pt>
                <c:pt idx="606">
                  <c:v>2.0000000000000002E-5</c:v>
                </c:pt>
                <c:pt idx="607">
                  <c:v>2.0000000000000002E-5</c:v>
                </c:pt>
                <c:pt idx="608">
                  <c:v>2.0000000000000002E-5</c:v>
                </c:pt>
                <c:pt idx="609">
                  <c:v>2.0000000000000002E-5</c:v>
                </c:pt>
                <c:pt idx="610">
                  <c:v>2.0000000000000002E-5</c:v>
                </c:pt>
                <c:pt idx="611">
                  <c:v>2.0000000000000002E-5</c:v>
                </c:pt>
                <c:pt idx="612">
                  <c:v>2.0000000000000002E-5</c:v>
                </c:pt>
                <c:pt idx="613">
                  <c:v>2.0000000000000002E-5</c:v>
                </c:pt>
                <c:pt idx="614">
                  <c:v>2.0000000000000002E-5</c:v>
                </c:pt>
                <c:pt idx="615">
                  <c:v>2.0000000000000002E-5</c:v>
                </c:pt>
                <c:pt idx="616">
                  <c:v>2.0000000000000002E-5</c:v>
                </c:pt>
                <c:pt idx="617">
                  <c:v>2.0000000000000002E-5</c:v>
                </c:pt>
                <c:pt idx="618">
                  <c:v>2.0000000000000002E-5</c:v>
                </c:pt>
                <c:pt idx="619">
                  <c:v>2.0000000000000002E-5</c:v>
                </c:pt>
                <c:pt idx="620">
                  <c:v>2.0000000000000002E-5</c:v>
                </c:pt>
                <c:pt idx="621">
                  <c:v>2.0000000000000002E-5</c:v>
                </c:pt>
                <c:pt idx="622">
                  <c:v>2.0000000000000002E-5</c:v>
                </c:pt>
                <c:pt idx="623">
                  <c:v>2.0000000000000002E-5</c:v>
                </c:pt>
                <c:pt idx="624">
                  <c:v>2.0000000000000002E-5</c:v>
                </c:pt>
                <c:pt idx="625">
                  <c:v>2.0000000000000002E-5</c:v>
                </c:pt>
                <c:pt idx="626">
                  <c:v>2.0000000000000002E-5</c:v>
                </c:pt>
                <c:pt idx="627">
                  <c:v>2.0000000000000002E-5</c:v>
                </c:pt>
                <c:pt idx="628">
                  <c:v>2.0000000000000002E-5</c:v>
                </c:pt>
                <c:pt idx="629">
                  <c:v>2.0000000000000002E-5</c:v>
                </c:pt>
                <c:pt idx="630">
                  <c:v>2.0000000000000002E-5</c:v>
                </c:pt>
                <c:pt idx="631">
                  <c:v>2.0000000000000002E-5</c:v>
                </c:pt>
                <c:pt idx="632">
                  <c:v>2.0000000000000002E-5</c:v>
                </c:pt>
                <c:pt idx="633">
                  <c:v>2.0000000000000002E-5</c:v>
                </c:pt>
                <c:pt idx="634">
                  <c:v>2.0000000000000002E-5</c:v>
                </c:pt>
                <c:pt idx="635">
                  <c:v>2.0000000000000002E-5</c:v>
                </c:pt>
                <c:pt idx="636">
                  <c:v>2.0000000000000002E-5</c:v>
                </c:pt>
                <c:pt idx="637">
                  <c:v>2.0000000000000002E-5</c:v>
                </c:pt>
                <c:pt idx="638">
                  <c:v>2.0000000000000002E-5</c:v>
                </c:pt>
                <c:pt idx="639">
                  <c:v>2.0000000000000002E-5</c:v>
                </c:pt>
                <c:pt idx="640">
                  <c:v>2.0000000000000002E-5</c:v>
                </c:pt>
                <c:pt idx="641">
                  <c:v>2.0000000000000002E-5</c:v>
                </c:pt>
                <c:pt idx="642">
                  <c:v>2.0000000000000002E-5</c:v>
                </c:pt>
                <c:pt idx="643">
                  <c:v>2.0000000000000002E-5</c:v>
                </c:pt>
                <c:pt idx="644">
                  <c:v>2.0000000000000002E-5</c:v>
                </c:pt>
                <c:pt idx="645">
                  <c:v>2.0000000000000002E-5</c:v>
                </c:pt>
                <c:pt idx="646">
                  <c:v>2.0000000000000002E-5</c:v>
                </c:pt>
                <c:pt idx="647">
                  <c:v>2.0000000000000002E-5</c:v>
                </c:pt>
                <c:pt idx="648">
                  <c:v>2.0000000000000002E-5</c:v>
                </c:pt>
                <c:pt idx="649">
                  <c:v>2.0000000000000002E-5</c:v>
                </c:pt>
                <c:pt idx="650">
                  <c:v>2.0000000000000002E-5</c:v>
                </c:pt>
                <c:pt idx="651">
                  <c:v>2.0000000000000002E-5</c:v>
                </c:pt>
                <c:pt idx="652">
                  <c:v>2.0000000000000002E-5</c:v>
                </c:pt>
                <c:pt idx="653">
                  <c:v>2.0000000000000002E-5</c:v>
                </c:pt>
                <c:pt idx="654">
                  <c:v>2.0000000000000002E-5</c:v>
                </c:pt>
                <c:pt idx="655">
                  <c:v>3.0000000000000001E-5</c:v>
                </c:pt>
                <c:pt idx="656">
                  <c:v>3.0000000000000001E-5</c:v>
                </c:pt>
                <c:pt idx="657">
                  <c:v>3.0000000000000001E-5</c:v>
                </c:pt>
                <c:pt idx="658">
                  <c:v>3.0000000000000001E-5</c:v>
                </c:pt>
                <c:pt idx="659">
                  <c:v>3.0000000000000001E-5</c:v>
                </c:pt>
                <c:pt idx="660">
                  <c:v>3.0000000000000001E-5</c:v>
                </c:pt>
                <c:pt idx="661">
                  <c:v>3.0000000000000001E-5</c:v>
                </c:pt>
                <c:pt idx="662">
                  <c:v>3.0000000000000001E-5</c:v>
                </c:pt>
                <c:pt idx="663">
                  <c:v>3.0000000000000001E-5</c:v>
                </c:pt>
                <c:pt idx="664">
                  <c:v>3.0000000000000001E-5</c:v>
                </c:pt>
                <c:pt idx="665">
                  <c:v>3.0000000000000001E-5</c:v>
                </c:pt>
                <c:pt idx="666">
                  <c:v>3.0000000000000001E-5</c:v>
                </c:pt>
                <c:pt idx="667">
                  <c:v>3.0000000000000001E-5</c:v>
                </c:pt>
                <c:pt idx="668">
                  <c:v>3.0000000000000001E-5</c:v>
                </c:pt>
                <c:pt idx="669">
                  <c:v>3.0000000000000001E-5</c:v>
                </c:pt>
                <c:pt idx="670">
                  <c:v>3.0000000000000001E-5</c:v>
                </c:pt>
                <c:pt idx="671">
                  <c:v>3.0000000000000001E-5</c:v>
                </c:pt>
                <c:pt idx="672">
                  <c:v>4.0000000000000003E-5</c:v>
                </c:pt>
                <c:pt idx="673">
                  <c:v>4.0000000000000003E-5</c:v>
                </c:pt>
                <c:pt idx="674">
                  <c:v>4.0000000000000003E-5</c:v>
                </c:pt>
                <c:pt idx="675">
                  <c:v>4.0000000000000003E-5</c:v>
                </c:pt>
                <c:pt idx="676">
                  <c:v>4.0000000000000003E-5</c:v>
                </c:pt>
                <c:pt idx="677">
                  <c:v>4.0000000000000003E-5</c:v>
                </c:pt>
                <c:pt idx="678">
                  <c:v>4.0000000000000003E-5</c:v>
                </c:pt>
                <c:pt idx="679">
                  <c:v>4.0000000000000003E-5</c:v>
                </c:pt>
                <c:pt idx="680">
                  <c:v>4.0000000000000003E-5</c:v>
                </c:pt>
                <c:pt idx="681">
                  <c:v>4.0000000000000003E-5</c:v>
                </c:pt>
                <c:pt idx="682">
                  <c:v>4.0000000000000003E-5</c:v>
                </c:pt>
                <c:pt idx="683">
                  <c:v>4.0000000000000003E-5</c:v>
                </c:pt>
                <c:pt idx="684">
                  <c:v>4.0000000000000003E-5</c:v>
                </c:pt>
                <c:pt idx="685">
                  <c:v>5.0000000000000002E-5</c:v>
                </c:pt>
                <c:pt idx="686">
                  <c:v>5.0000000000000002E-5</c:v>
                </c:pt>
                <c:pt idx="687">
                  <c:v>5.0000000000000002E-5</c:v>
                </c:pt>
                <c:pt idx="688">
                  <c:v>5.0000000000000002E-5</c:v>
                </c:pt>
                <c:pt idx="689">
                  <c:v>5.0000000000000002E-5</c:v>
                </c:pt>
                <c:pt idx="690">
                  <c:v>5.0000000000000002E-5</c:v>
                </c:pt>
                <c:pt idx="691">
                  <c:v>5.0000000000000002E-5</c:v>
                </c:pt>
                <c:pt idx="692">
                  <c:v>5.0000000000000002E-5</c:v>
                </c:pt>
                <c:pt idx="693">
                  <c:v>5.0000000000000002E-5</c:v>
                </c:pt>
                <c:pt idx="694">
                  <c:v>5.0000000000000002E-5</c:v>
                </c:pt>
                <c:pt idx="695">
                  <c:v>5.0000000000000002E-5</c:v>
                </c:pt>
                <c:pt idx="696">
                  <c:v>6.0000000000000002E-5</c:v>
                </c:pt>
                <c:pt idx="697">
                  <c:v>6.0000000000000002E-5</c:v>
                </c:pt>
                <c:pt idx="698">
                  <c:v>6.0000000000000002E-5</c:v>
                </c:pt>
                <c:pt idx="699">
                  <c:v>6.0000000000000002E-5</c:v>
                </c:pt>
                <c:pt idx="700">
                  <c:v>6.0000000000000002E-5</c:v>
                </c:pt>
                <c:pt idx="701">
                  <c:v>6.0000000000000002E-5</c:v>
                </c:pt>
                <c:pt idx="702">
                  <c:v>6.0000000000000002E-5</c:v>
                </c:pt>
                <c:pt idx="703">
                  <c:v>6.0000000000000002E-5</c:v>
                </c:pt>
                <c:pt idx="704">
                  <c:v>6.9999999999999994E-5</c:v>
                </c:pt>
                <c:pt idx="705">
                  <c:v>6.9999999999999994E-5</c:v>
                </c:pt>
                <c:pt idx="706">
                  <c:v>6.9999999999999994E-5</c:v>
                </c:pt>
                <c:pt idx="707">
                  <c:v>6.9999999999999994E-5</c:v>
                </c:pt>
                <c:pt idx="708">
                  <c:v>6.9999999999999994E-5</c:v>
                </c:pt>
                <c:pt idx="709">
                  <c:v>6.9999999999999994E-5</c:v>
                </c:pt>
                <c:pt idx="710">
                  <c:v>8.0000000000000007E-5</c:v>
                </c:pt>
                <c:pt idx="711">
                  <c:v>8.0000000000000007E-5</c:v>
                </c:pt>
                <c:pt idx="712">
                  <c:v>8.0000000000000007E-5</c:v>
                </c:pt>
                <c:pt idx="713">
                  <c:v>8.0000000000000007E-5</c:v>
                </c:pt>
                <c:pt idx="714">
                  <c:v>8.0000000000000007E-5</c:v>
                </c:pt>
                <c:pt idx="715">
                  <c:v>9.0000000000000006E-5</c:v>
                </c:pt>
                <c:pt idx="716">
                  <c:v>9.0000000000000006E-5</c:v>
                </c:pt>
                <c:pt idx="717">
                  <c:v>9.0000000000000006E-5</c:v>
                </c:pt>
                <c:pt idx="718">
                  <c:v>9.0000000000000006E-5</c:v>
                </c:pt>
                <c:pt idx="719">
                  <c:v>9.0000000000000006E-5</c:v>
                </c:pt>
                <c:pt idx="720">
                  <c:v>1E-4</c:v>
                </c:pt>
                <c:pt idx="721">
                  <c:v>1E-4</c:v>
                </c:pt>
                <c:pt idx="722">
                  <c:v>1E-4</c:v>
                </c:pt>
                <c:pt idx="723">
                  <c:v>1E-4</c:v>
                </c:pt>
                <c:pt idx="724">
                  <c:v>1.1E-4</c:v>
                </c:pt>
                <c:pt idx="725">
                  <c:v>1.1E-4</c:v>
                </c:pt>
                <c:pt idx="726">
                  <c:v>1.1E-4</c:v>
                </c:pt>
                <c:pt idx="727">
                  <c:v>1.1E-4</c:v>
                </c:pt>
                <c:pt idx="728">
                  <c:v>1.2E-4</c:v>
                </c:pt>
                <c:pt idx="729">
                  <c:v>1.2E-4</c:v>
                </c:pt>
                <c:pt idx="730">
                  <c:v>1.2E-4</c:v>
                </c:pt>
                <c:pt idx="731">
                  <c:v>1.2E-4</c:v>
                </c:pt>
                <c:pt idx="732">
                  <c:v>1.2999999999999999E-4</c:v>
                </c:pt>
                <c:pt idx="733">
                  <c:v>1.2999999999999999E-4</c:v>
                </c:pt>
                <c:pt idx="734">
                  <c:v>1.2999999999999999E-4</c:v>
                </c:pt>
                <c:pt idx="735">
                  <c:v>1.3999999999999999E-4</c:v>
                </c:pt>
                <c:pt idx="736">
                  <c:v>1.3999999999999999E-4</c:v>
                </c:pt>
                <c:pt idx="737">
                  <c:v>1.3999999999999999E-4</c:v>
                </c:pt>
                <c:pt idx="738">
                  <c:v>1.4999999999999999E-4</c:v>
                </c:pt>
                <c:pt idx="739">
                  <c:v>1.4999999999999999E-4</c:v>
                </c:pt>
                <c:pt idx="740">
                  <c:v>1.4999999999999999E-4</c:v>
                </c:pt>
                <c:pt idx="741">
                  <c:v>1.6000000000000001E-4</c:v>
                </c:pt>
                <c:pt idx="742">
                  <c:v>1.6000000000000001E-4</c:v>
                </c:pt>
                <c:pt idx="743">
                  <c:v>1.6000000000000001E-4</c:v>
                </c:pt>
                <c:pt idx="744">
                  <c:v>1.7000000000000001E-4</c:v>
                </c:pt>
                <c:pt idx="745">
                  <c:v>1.7000000000000001E-4</c:v>
                </c:pt>
                <c:pt idx="746">
                  <c:v>1.8000000000000001E-4</c:v>
                </c:pt>
                <c:pt idx="747">
                  <c:v>1.8000000000000001E-4</c:v>
                </c:pt>
                <c:pt idx="748">
                  <c:v>1.8000000000000001E-4</c:v>
                </c:pt>
                <c:pt idx="749">
                  <c:v>1.9000000000000001E-4</c:v>
                </c:pt>
                <c:pt idx="750">
                  <c:v>1.9000000000000001E-4</c:v>
                </c:pt>
                <c:pt idx="751">
                  <c:v>1.9000000000000001E-4</c:v>
                </c:pt>
                <c:pt idx="752">
                  <c:v>2.0000000000000001E-4</c:v>
                </c:pt>
                <c:pt idx="753">
                  <c:v>2.0000000000000001E-4</c:v>
                </c:pt>
                <c:pt idx="754">
                  <c:v>2.0000000000000001E-4</c:v>
                </c:pt>
                <c:pt idx="755">
                  <c:v>2.1000000000000001E-4</c:v>
                </c:pt>
                <c:pt idx="756">
                  <c:v>2.1000000000000001E-4</c:v>
                </c:pt>
                <c:pt idx="757">
                  <c:v>2.1000000000000001E-4</c:v>
                </c:pt>
                <c:pt idx="758">
                  <c:v>2.2000000000000001E-4</c:v>
                </c:pt>
                <c:pt idx="759">
                  <c:v>2.2000000000000001E-4</c:v>
                </c:pt>
                <c:pt idx="760">
                  <c:v>2.2000000000000001E-4</c:v>
                </c:pt>
                <c:pt idx="761">
                  <c:v>2.3000000000000001E-4</c:v>
                </c:pt>
                <c:pt idx="762">
                  <c:v>2.3000000000000001E-4</c:v>
                </c:pt>
                <c:pt idx="763">
                  <c:v>2.3000000000000001E-4</c:v>
                </c:pt>
                <c:pt idx="764">
                  <c:v>2.4000000000000001E-4</c:v>
                </c:pt>
                <c:pt idx="765">
                  <c:v>2.4000000000000001E-4</c:v>
                </c:pt>
                <c:pt idx="766">
                  <c:v>2.5000000000000001E-4</c:v>
                </c:pt>
                <c:pt idx="767">
                  <c:v>2.5000000000000001E-4</c:v>
                </c:pt>
                <c:pt idx="768">
                  <c:v>2.5000000000000001E-4</c:v>
                </c:pt>
                <c:pt idx="769">
                  <c:v>2.5999999999999998E-4</c:v>
                </c:pt>
                <c:pt idx="770">
                  <c:v>2.5999999999999998E-4</c:v>
                </c:pt>
                <c:pt idx="771">
                  <c:v>2.7E-4</c:v>
                </c:pt>
                <c:pt idx="772">
                  <c:v>2.7E-4</c:v>
                </c:pt>
                <c:pt idx="773">
                  <c:v>2.7E-4</c:v>
                </c:pt>
                <c:pt idx="774">
                  <c:v>2.7999999999999998E-4</c:v>
                </c:pt>
                <c:pt idx="775">
                  <c:v>2.7999999999999998E-4</c:v>
                </c:pt>
                <c:pt idx="776">
                  <c:v>2.9E-4</c:v>
                </c:pt>
                <c:pt idx="777">
                  <c:v>2.9E-4</c:v>
                </c:pt>
                <c:pt idx="778">
                  <c:v>2.9E-4</c:v>
                </c:pt>
                <c:pt idx="779">
                  <c:v>2.9999999999999997E-4</c:v>
                </c:pt>
                <c:pt idx="780">
                  <c:v>2.9999999999999997E-4</c:v>
                </c:pt>
                <c:pt idx="781">
                  <c:v>3.1E-4</c:v>
                </c:pt>
                <c:pt idx="782">
                  <c:v>3.1E-4</c:v>
                </c:pt>
                <c:pt idx="783">
                  <c:v>3.2000000000000003E-4</c:v>
                </c:pt>
                <c:pt idx="784">
                  <c:v>3.2000000000000003E-4</c:v>
                </c:pt>
                <c:pt idx="785">
                  <c:v>3.3E-4</c:v>
                </c:pt>
                <c:pt idx="786">
                  <c:v>3.3E-4</c:v>
                </c:pt>
                <c:pt idx="787">
                  <c:v>3.4000000000000002E-4</c:v>
                </c:pt>
                <c:pt idx="788">
                  <c:v>3.4000000000000002E-4</c:v>
                </c:pt>
                <c:pt idx="789">
                  <c:v>3.5E-4</c:v>
                </c:pt>
                <c:pt idx="790">
                  <c:v>3.5E-4</c:v>
                </c:pt>
                <c:pt idx="791">
                  <c:v>3.6000000000000002E-4</c:v>
                </c:pt>
                <c:pt idx="792">
                  <c:v>3.6000000000000002E-4</c:v>
                </c:pt>
                <c:pt idx="793">
                  <c:v>3.6999999999999999E-4</c:v>
                </c:pt>
                <c:pt idx="794">
                  <c:v>3.6999999999999999E-4</c:v>
                </c:pt>
                <c:pt idx="795">
                  <c:v>3.8000000000000002E-4</c:v>
                </c:pt>
                <c:pt idx="796">
                  <c:v>3.8000000000000002E-4</c:v>
                </c:pt>
                <c:pt idx="797">
                  <c:v>3.8999999999999999E-4</c:v>
                </c:pt>
                <c:pt idx="798">
                  <c:v>3.8999999999999999E-4</c:v>
                </c:pt>
                <c:pt idx="799">
                  <c:v>4.0000000000000002E-4</c:v>
                </c:pt>
                <c:pt idx="800">
                  <c:v>4.0999999999999999E-4</c:v>
                </c:pt>
                <c:pt idx="801">
                  <c:v>4.0000000000000002E-4</c:v>
                </c:pt>
                <c:pt idx="802">
                  <c:v>4.0000000000000002E-4</c:v>
                </c:pt>
                <c:pt idx="803">
                  <c:v>4.0000000000000002E-4</c:v>
                </c:pt>
                <c:pt idx="804">
                  <c:v>4.0000000000000002E-4</c:v>
                </c:pt>
                <c:pt idx="805">
                  <c:v>4.0000000000000002E-4</c:v>
                </c:pt>
                <c:pt idx="806">
                  <c:v>4.0000000000000002E-4</c:v>
                </c:pt>
                <c:pt idx="807">
                  <c:v>4.0000000000000002E-4</c:v>
                </c:pt>
                <c:pt idx="808">
                  <c:v>4.0000000000000002E-4</c:v>
                </c:pt>
                <c:pt idx="809">
                  <c:v>4.0000000000000002E-4</c:v>
                </c:pt>
                <c:pt idx="810">
                  <c:v>4.0000000000000002E-4</c:v>
                </c:pt>
                <c:pt idx="811">
                  <c:v>4.0000000000000002E-4</c:v>
                </c:pt>
                <c:pt idx="812">
                  <c:v>4.0000000000000002E-4</c:v>
                </c:pt>
                <c:pt idx="813">
                  <c:v>4.0000000000000002E-4</c:v>
                </c:pt>
                <c:pt idx="814">
                  <c:v>4.0000000000000002E-4</c:v>
                </c:pt>
                <c:pt idx="815">
                  <c:v>3.8999999999999999E-4</c:v>
                </c:pt>
                <c:pt idx="816">
                  <c:v>3.8999999999999999E-4</c:v>
                </c:pt>
                <c:pt idx="817">
                  <c:v>3.8999999999999999E-4</c:v>
                </c:pt>
                <c:pt idx="818">
                  <c:v>3.8999999999999999E-4</c:v>
                </c:pt>
                <c:pt idx="819">
                  <c:v>3.8999999999999999E-4</c:v>
                </c:pt>
                <c:pt idx="820">
                  <c:v>3.8999999999999999E-4</c:v>
                </c:pt>
                <c:pt idx="821">
                  <c:v>3.8999999999999999E-4</c:v>
                </c:pt>
                <c:pt idx="822">
                  <c:v>3.8999999999999999E-4</c:v>
                </c:pt>
                <c:pt idx="823">
                  <c:v>3.8999999999999999E-4</c:v>
                </c:pt>
                <c:pt idx="824">
                  <c:v>3.8999999999999999E-4</c:v>
                </c:pt>
                <c:pt idx="825">
                  <c:v>3.8999999999999999E-4</c:v>
                </c:pt>
                <c:pt idx="826">
                  <c:v>3.8999999999999999E-4</c:v>
                </c:pt>
                <c:pt idx="827">
                  <c:v>3.8000000000000002E-4</c:v>
                </c:pt>
                <c:pt idx="828">
                  <c:v>3.8000000000000002E-4</c:v>
                </c:pt>
                <c:pt idx="829">
                  <c:v>3.8000000000000002E-4</c:v>
                </c:pt>
                <c:pt idx="830">
                  <c:v>3.8000000000000002E-4</c:v>
                </c:pt>
                <c:pt idx="831">
                  <c:v>3.8000000000000002E-4</c:v>
                </c:pt>
                <c:pt idx="832">
                  <c:v>3.8000000000000002E-4</c:v>
                </c:pt>
                <c:pt idx="833">
                  <c:v>3.8000000000000002E-4</c:v>
                </c:pt>
                <c:pt idx="834">
                  <c:v>3.8000000000000002E-4</c:v>
                </c:pt>
                <c:pt idx="835">
                  <c:v>3.8000000000000002E-4</c:v>
                </c:pt>
                <c:pt idx="836">
                  <c:v>3.8000000000000002E-4</c:v>
                </c:pt>
                <c:pt idx="837">
                  <c:v>3.8000000000000002E-4</c:v>
                </c:pt>
                <c:pt idx="838">
                  <c:v>3.6999999999999999E-4</c:v>
                </c:pt>
                <c:pt idx="839">
                  <c:v>3.6999999999999999E-4</c:v>
                </c:pt>
                <c:pt idx="840">
                  <c:v>3.6999999999999999E-4</c:v>
                </c:pt>
                <c:pt idx="841">
                  <c:v>3.6999999999999999E-4</c:v>
                </c:pt>
                <c:pt idx="842">
                  <c:v>3.6999999999999999E-4</c:v>
                </c:pt>
                <c:pt idx="843">
                  <c:v>3.6999999999999999E-4</c:v>
                </c:pt>
                <c:pt idx="844">
                  <c:v>3.6999999999999999E-4</c:v>
                </c:pt>
                <c:pt idx="845">
                  <c:v>3.6999999999999999E-4</c:v>
                </c:pt>
                <c:pt idx="846">
                  <c:v>3.6999999999999999E-4</c:v>
                </c:pt>
                <c:pt idx="847">
                  <c:v>3.6999999999999999E-4</c:v>
                </c:pt>
                <c:pt idx="848">
                  <c:v>3.6000000000000002E-4</c:v>
                </c:pt>
                <c:pt idx="849">
                  <c:v>3.6000000000000002E-4</c:v>
                </c:pt>
                <c:pt idx="850">
                  <c:v>3.6000000000000002E-4</c:v>
                </c:pt>
                <c:pt idx="851">
                  <c:v>3.6000000000000002E-4</c:v>
                </c:pt>
                <c:pt idx="852">
                  <c:v>3.6000000000000002E-4</c:v>
                </c:pt>
                <c:pt idx="853">
                  <c:v>3.5E-4</c:v>
                </c:pt>
                <c:pt idx="854">
                  <c:v>3.5E-4</c:v>
                </c:pt>
                <c:pt idx="855">
                  <c:v>3.5E-4</c:v>
                </c:pt>
                <c:pt idx="856">
                  <c:v>3.4000000000000002E-4</c:v>
                </c:pt>
                <c:pt idx="857">
                  <c:v>3.4000000000000002E-4</c:v>
                </c:pt>
                <c:pt idx="858">
                  <c:v>3.4000000000000002E-4</c:v>
                </c:pt>
                <c:pt idx="859">
                  <c:v>3.3E-4</c:v>
                </c:pt>
                <c:pt idx="860">
                  <c:v>3.3E-4</c:v>
                </c:pt>
                <c:pt idx="861">
                  <c:v>3.3E-4</c:v>
                </c:pt>
                <c:pt idx="862">
                  <c:v>3.3E-4</c:v>
                </c:pt>
                <c:pt idx="863">
                  <c:v>3.2000000000000003E-4</c:v>
                </c:pt>
                <c:pt idx="864">
                  <c:v>3.2000000000000003E-4</c:v>
                </c:pt>
                <c:pt idx="865">
                  <c:v>3.2000000000000003E-4</c:v>
                </c:pt>
                <c:pt idx="866">
                  <c:v>3.1E-4</c:v>
                </c:pt>
                <c:pt idx="867">
                  <c:v>3.1E-4</c:v>
                </c:pt>
                <c:pt idx="868">
                  <c:v>3.1E-4</c:v>
                </c:pt>
                <c:pt idx="869">
                  <c:v>3.1E-4</c:v>
                </c:pt>
                <c:pt idx="870">
                  <c:v>2.9999999999999997E-4</c:v>
                </c:pt>
                <c:pt idx="871">
                  <c:v>2.9999999999999997E-4</c:v>
                </c:pt>
                <c:pt idx="872">
                  <c:v>2.9999999999999997E-4</c:v>
                </c:pt>
                <c:pt idx="873">
                  <c:v>2.9999999999999997E-4</c:v>
                </c:pt>
                <c:pt idx="874">
                  <c:v>2.9E-4</c:v>
                </c:pt>
                <c:pt idx="875">
                  <c:v>2.9E-4</c:v>
                </c:pt>
                <c:pt idx="876">
                  <c:v>2.9E-4</c:v>
                </c:pt>
                <c:pt idx="877">
                  <c:v>2.9E-4</c:v>
                </c:pt>
                <c:pt idx="878">
                  <c:v>2.7999999999999998E-4</c:v>
                </c:pt>
                <c:pt idx="879">
                  <c:v>2.7999999999999998E-4</c:v>
                </c:pt>
                <c:pt idx="880">
                  <c:v>2.7999999999999998E-4</c:v>
                </c:pt>
                <c:pt idx="881">
                  <c:v>2.7999999999999998E-4</c:v>
                </c:pt>
                <c:pt idx="882">
                  <c:v>2.7E-4</c:v>
                </c:pt>
                <c:pt idx="883">
                  <c:v>2.7E-4</c:v>
                </c:pt>
                <c:pt idx="884">
                  <c:v>2.7E-4</c:v>
                </c:pt>
                <c:pt idx="885">
                  <c:v>2.7E-4</c:v>
                </c:pt>
                <c:pt idx="886">
                  <c:v>2.5999999999999998E-4</c:v>
                </c:pt>
                <c:pt idx="887">
                  <c:v>2.5999999999999998E-4</c:v>
                </c:pt>
                <c:pt idx="888">
                  <c:v>2.5999999999999998E-4</c:v>
                </c:pt>
                <c:pt idx="889">
                  <c:v>2.5999999999999998E-4</c:v>
                </c:pt>
                <c:pt idx="890">
                  <c:v>2.5000000000000001E-4</c:v>
                </c:pt>
                <c:pt idx="891">
                  <c:v>2.5000000000000001E-4</c:v>
                </c:pt>
                <c:pt idx="892">
                  <c:v>2.5000000000000001E-4</c:v>
                </c:pt>
                <c:pt idx="893">
                  <c:v>2.5000000000000001E-4</c:v>
                </c:pt>
                <c:pt idx="894">
                  <c:v>2.5000000000000001E-4</c:v>
                </c:pt>
                <c:pt idx="895">
                  <c:v>2.4000000000000001E-4</c:v>
                </c:pt>
                <c:pt idx="896">
                  <c:v>2.4000000000000001E-4</c:v>
                </c:pt>
                <c:pt idx="897">
                  <c:v>2.4000000000000001E-4</c:v>
                </c:pt>
                <c:pt idx="898">
                  <c:v>2.4000000000000001E-4</c:v>
                </c:pt>
                <c:pt idx="899">
                  <c:v>2.3000000000000001E-4</c:v>
                </c:pt>
                <c:pt idx="900">
                  <c:v>2.3000000000000001E-4</c:v>
                </c:pt>
                <c:pt idx="901">
                  <c:v>2.3000000000000001E-4</c:v>
                </c:pt>
                <c:pt idx="902">
                  <c:v>2.3000000000000001E-4</c:v>
                </c:pt>
                <c:pt idx="903">
                  <c:v>2.3000000000000001E-4</c:v>
                </c:pt>
                <c:pt idx="904">
                  <c:v>2.2000000000000001E-4</c:v>
                </c:pt>
                <c:pt idx="905">
                  <c:v>2.2000000000000001E-4</c:v>
                </c:pt>
                <c:pt idx="906">
                  <c:v>2.2000000000000001E-4</c:v>
                </c:pt>
                <c:pt idx="907">
                  <c:v>2.2000000000000001E-4</c:v>
                </c:pt>
                <c:pt idx="908">
                  <c:v>2.2000000000000001E-4</c:v>
                </c:pt>
                <c:pt idx="909">
                  <c:v>2.1000000000000001E-4</c:v>
                </c:pt>
                <c:pt idx="910">
                  <c:v>2.1000000000000001E-4</c:v>
                </c:pt>
                <c:pt idx="911">
                  <c:v>2.1000000000000001E-4</c:v>
                </c:pt>
                <c:pt idx="912">
                  <c:v>2.1000000000000001E-4</c:v>
                </c:pt>
                <c:pt idx="913">
                  <c:v>2.1000000000000001E-4</c:v>
                </c:pt>
                <c:pt idx="914">
                  <c:v>2.1000000000000001E-4</c:v>
                </c:pt>
                <c:pt idx="915">
                  <c:v>2.0000000000000001E-4</c:v>
                </c:pt>
                <c:pt idx="916">
                  <c:v>2.0000000000000001E-4</c:v>
                </c:pt>
                <c:pt idx="917">
                  <c:v>2.0000000000000001E-4</c:v>
                </c:pt>
                <c:pt idx="918">
                  <c:v>2.0000000000000001E-4</c:v>
                </c:pt>
                <c:pt idx="919">
                  <c:v>2.0000000000000001E-4</c:v>
                </c:pt>
                <c:pt idx="920">
                  <c:v>2.0000000000000001E-4</c:v>
                </c:pt>
                <c:pt idx="921">
                  <c:v>1.9000000000000001E-4</c:v>
                </c:pt>
                <c:pt idx="922">
                  <c:v>1.9000000000000001E-4</c:v>
                </c:pt>
                <c:pt idx="923">
                  <c:v>1.9000000000000001E-4</c:v>
                </c:pt>
                <c:pt idx="924">
                  <c:v>1.9000000000000001E-4</c:v>
                </c:pt>
                <c:pt idx="925">
                  <c:v>1.9000000000000001E-4</c:v>
                </c:pt>
                <c:pt idx="926">
                  <c:v>1.9000000000000001E-4</c:v>
                </c:pt>
                <c:pt idx="927">
                  <c:v>1.8000000000000001E-4</c:v>
                </c:pt>
                <c:pt idx="928">
                  <c:v>1.8000000000000001E-4</c:v>
                </c:pt>
                <c:pt idx="929">
                  <c:v>1.8000000000000001E-4</c:v>
                </c:pt>
                <c:pt idx="930">
                  <c:v>1.8000000000000001E-4</c:v>
                </c:pt>
                <c:pt idx="931">
                  <c:v>1.8000000000000001E-4</c:v>
                </c:pt>
                <c:pt idx="932">
                  <c:v>1.8000000000000001E-4</c:v>
                </c:pt>
                <c:pt idx="933">
                  <c:v>1.7000000000000001E-4</c:v>
                </c:pt>
                <c:pt idx="934">
                  <c:v>1.7000000000000001E-4</c:v>
                </c:pt>
                <c:pt idx="935">
                  <c:v>1.7000000000000001E-4</c:v>
                </c:pt>
                <c:pt idx="936">
                  <c:v>1.7000000000000001E-4</c:v>
                </c:pt>
                <c:pt idx="937">
                  <c:v>1.7000000000000001E-4</c:v>
                </c:pt>
                <c:pt idx="938">
                  <c:v>1.7000000000000001E-4</c:v>
                </c:pt>
                <c:pt idx="939">
                  <c:v>1.7000000000000001E-4</c:v>
                </c:pt>
                <c:pt idx="940">
                  <c:v>1.6000000000000001E-4</c:v>
                </c:pt>
                <c:pt idx="941">
                  <c:v>1.6000000000000001E-4</c:v>
                </c:pt>
                <c:pt idx="942">
                  <c:v>1.6000000000000001E-4</c:v>
                </c:pt>
                <c:pt idx="943">
                  <c:v>1.6000000000000001E-4</c:v>
                </c:pt>
                <c:pt idx="944">
                  <c:v>1.6000000000000001E-4</c:v>
                </c:pt>
                <c:pt idx="945">
                  <c:v>1.6000000000000001E-4</c:v>
                </c:pt>
                <c:pt idx="946">
                  <c:v>1.6000000000000001E-4</c:v>
                </c:pt>
                <c:pt idx="947">
                  <c:v>1.4999999999999999E-4</c:v>
                </c:pt>
                <c:pt idx="948">
                  <c:v>1.4999999999999999E-4</c:v>
                </c:pt>
                <c:pt idx="949">
                  <c:v>1.4999999999999999E-4</c:v>
                </c:pt>
                <c:pt idx="950">
                  <c:v>1.4999999999999999E-4</c:v>
                </c:pt>
                <c:pt idx="951">
                  <c:v>1.4999999999999999E-4</c:v>
                </c:pt>
                <c:pt idx="952">
                  <c:v>1.4999999999999999E-4</c:v>
                </c:pt>
                <c:pt idx="953">
                  <c:v>1.4999999999999999E-4</c:v>
                </c:pt>
                <c:pt idx="954">
                  <c:v>1.4999999999999999E-4</c:v>
                </c:pt>
                <c:pt idx="955">
                  <c:v>1.3999999999999999E-4</c:v>
                </c:pt>
                <c:pt idx="956">
                  <c:v>1.3999999999999999E-4</c:v>
                </c:pt>
                <c:pt idx="957">
                  <c:v>1.3999999999999999E-4</c:v>
                </c:pt>
                <c:pt idx="958">
                  <c:v>1.3999999999999999E-4</c:v>
                </c:pt>
                <c:pt idx="959">
                  <c:v>1.3999999999999999E-4</c:v>
                </c:pt>
                <c:pt idx="960">
                  <c:v>1.3999999999999999E-4</c:v>
                </c:pt>
                <c:pt idx="961">
                  <c:v>1.3999999999999999E-4</c:v>
                </c:pt>
                <c:pt idx="962">
                  <c:v>1.3999999999999999E-4</c:v>
                </c:pt>
                <c:pt idx="963">
                  <c:v>1.2999999999999999E-4</c:v>
                </c:pt>
                <c:pt idx="964">
                  <c:v>1.2999999999999999E-4</c:v>
                </c:pt>
                <c:pt idx="965">
                  <c:v>1.2999999999999999E-4</c:v>
                </c:pt>
                <c:pt idx="966">
                  <c:v>1.2999999999999999E-4</c:v>
                </c:pt>
                <c:pt idx="967">
                  <c:v>1.2999999999999999E-4</c:v>
                </c:pt>
                <c:pt idx="968">
                  <c:v>1.2999999999999999E-4</c:v>
                </c:pt>
                <c:pt idx="969">
                  <c:v>1.2999999999999999E-4</c:v>
                </c:pt>
                <c:pt idx="970">
                  <c:v>1.2999999999999999E-4</c:v>
                </c:pt>
                <c:pt idx="971">
                  <c:v>1.2999999999999999E-4</c:v>
                </c:pt>
                <c:pt idx="972">
                  <c:v>1.2E-4</c:v>
                </c:pt>
                <c:pt idx="973">
                  <c:v>1.2E-4</c:v>
                </c:pt>
                <c:pt idx="974">
                  <c:v>1.2E-4</c:v>
                </c:pt>
                <c:pt idx="975">
                  <c:v>1.2E-4</c:v>
                </c:pt>
                <c:pt idx="976">
                  <c:v>1.2E-4</c:v>
                </c:pt>
                <c:pt idx="977">
                  <c:v>1.2E-4</c:v>
                </c:pt>
                <c:pt idx="978">
                  <c:v>1.2E-4</c:v>
                </c:pt>
                <c:pt idx="979">
                  <c:v>1.2E-4</c:v>
                </c:pt>
                <c:pt idx="980">
                  <c:v>1.2E-4</c:v>
                </c:pt>
                <c:pt idx="981">
                  <c:v>1.2E-4</c:v>
                </c:pt>
                <c:pt idx="982">
                  <c:v>1.2E-4</c:v>
                </c:pt>
                <c:pt idx="983">
                  <c:v>1.2E-4</c:v>
                </c:pt>
                <c:pt idx="984">
                  <c:v>1.1E-4</c:v>
                </c:pt>
                <c:pt idx="985">
                  <c:v>1.1E-4</c:v>
                </c:pt>
                <c:pt idx="986">
                  <c:v>1.1E-4</c:v>
                </c:pt>
                <c:pt idx="987">
                  <c:v>1.1E-4</c:v>
                </c:pt>
                <c:pt idx="988">
                  <c:v>1.1E-4</c:v>
                </c:pt>
                <c:pt idx="989">
                  <c:v>1.1E-4</c:v>
                </c:pt>
                <c:pt idx="990">
                  <c:v>1.1E-4</c:v>
                </c:pt>
                <c:pt idx="991">
                  <c:v>1.1E-4</c:v>
                </c:pt>
                <c:pt idx="992">
                  <c:v>1.1E-4</c:v>
                </c:pt>
                <c:pt idx="993">
                  <c:v>1.1E-4</c:v>
                </c:pt>
                <c:pt idx="994">
                  <c:v>1.1E-4</c:v>
                </c:pt>
                <c:pt idx="995">
                  <c:v>1.1E-4</c:v>
                </c:pt>
                <c:pt idx="996">
                  <c:v>1.1E-4</c:v>
                </c:pt>
                <c:pt idx="997">
                  <c:v>1.1E-4</c:v>
                </c:pt>
                <c:pt idx="998">
                  <c:v>1.1E-4</c:v>
                </c:pt>
                <c:pt idx="999">
                  <c:v>1E-4</c:v>
                </c:pt>
                <c:pt idx="1000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0D-FB48-8277-0D86F2F1D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77007"/>
        <c:axId val="490842687"/>
      </c:scatterChart>
      <c:valAx>
        <c:axId val="510677007"/>
        <c:scaling>
          <c:orientation val="minMax"/>
          <c:max val="10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Wavelength</a:t>
                </a:r>
                <a:r>
                  <a:rPr lang="en-US" baseline="0"/>
                  <a:t> (nm)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842687"/>
        <c:crosses val="autoZero"/>
        <c:crossBetween val="midCat"/>
      </c:valAx>
      <c:valAx>
        <c:axId val="49084268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7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Baseline NUV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Detector QE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'Filter Materion 280 20160217'!$A$2:$A$1002</c:f>
              <c:numCache>
                <c:formatCode>General</c:formatCode>
                <c:ptCount val="10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  <c:pt idx="901">
                  <c:v>1001</c:v>
                </c:pt>
                <c:pt idx="902">
                  <c:v>1002</c:v>
                </c:pt>
                <c:pt idx="903">
                  <c:v>1003</c:v>
                </c:pt>
                <c:pt idx="904">
                  <c:v>1004</c:v>
                </c:pt>
                <c:pt idx="905">
                  <c:v>1005</c:v>
                </c:pt>
                <c:pt idx="906">
                  <c:v>1006</c:v>
                </c:pt>
                <c:pt idx="907">
                  <c:v>1007</c:v>
                </c:pt>
                <c:pt idx="908">
                  <c:v>1008</c:v>
                </c:pt>
                <c:pt idx="909">
                  <c:v>1009</c:v>
                </c:pt>
                <c:pt idx="910">
                  <c:v>1010</c:v>
                </c:pt>
                <c:pt idx="911">
                  <c:v>1011</c:v>
                </c:pt>
                <c:pt idx="912">
                  <c:v>1012</c:v>
                </c:pt>
                <c:pt idx="913">
                  <c:v>1013</c:v>
                </c:pt>
                <c:pt idx="914">
                  <c:v>1014</c:v>
                </c:pt>
                <c:pt idx="915">
                  <c:v>1015</c:v>
                </c:pt>
                <c:pt idx="916">
                  <c:v>1016</c:v>
                </c:pt>
                <c:pt idx="917">
                  <c:v>1017</c:v>
                </c:pt>
                <c:pt idx="918">
                  <c:v>1018</c:v>
                </c:pt>
                <c:pt idx="919">
                  <c:v>1019</c:v>
                </c:pt>
                <c:pt idx="920">
                  <c:v>1020</c:v>
                </c:pt>
                <c:pt idx="921">
                  <c:v>1021</c:v>
                </c:pt>
                <c:pt idx="922">
                  <c:v>1022</c:v>
                </c:pt>
                <c:pt idx="923">
                  <c:v>1023</c:v>
                </c:pt>
                <c:pt idx="924">
                  <c:v>1024</c:v>
                </c:pt>
                <c:pt idx="925">
                  <c:v>1025</c:v>
                </c:pt>
                <c:pt idx="926">
                  <c:v>1026</c:v>
                </c:pt>
                <c:pt idx="927">
                  <c:v>1027</c:v>
                </c:pt>
                <c:pt idx="928">
                  <c:v>1028</c:v>
                </c:pt>
                <c:pt idx="929">
                  <c:v>1029</c:v>
                </c:pt>
                <c:pt idx="930">
                  <c:v>1030</c:v>
                </c:pt>
                <c:pt idx="931">
                  <c:v>1031</c:v>
                </c:pt>
                <c:pt idx="932">
                  <c:v>1032</c:v>
                </c:pt>
                <c:pt idx="933">
                  <c:v>1033</c:v>
                </c:pt>
                <c:pt idx="934">
                  <c:v>1034</c:v>
                </c:pt>
                <c:pt idx="935">
                  <c:v>1035</c:v>
                </c:pt>
                <c:pt idx="936">
                  <c:v>1036</c:v>
                </c:pt>
                <c:pt idx="937">
                  <c:v>1037</c:v>
                </c:pt>
                <c:pt idx="938">
                  <c:v>1038</c:v>
                </c:pt>
                <c:pt idx="939">
                  <c:v>1039</c:v>
                </c:pt>
                <c:pt idx="940">
                  <c:v>1040</c:v>
                </c:pt>
                <c:pt idx="941">
                  <c:v>1041</c:v>
                </c:pt>
                <c:pt idx="942">
                  <c:v>1042</c:v>
                </c:pt>
                <c:pt idx="943">
                  <c:v>1043</c:v>
                </c:pt>
                <c:pt idx="944">
                  <c:v>1044</c:v>
                </c:pt>
                <c:pt idx="945">
                  <c:v>1045</c:v>
                </c:pt>
                <c:pt idx="946">
                  <c:v>1046</c:v>
                </c:pt>
                <c:pt idx="947">
                  <c:v>1047</c:v>
                </c:pt>
                <c:pt idx="948">
                  <c:v>1048</c:v>
                </c:pt>
                <c:pt idx="949">
                  <c:v>1049</c:v>
                </c:pt>
                <c:pt idx="950">
                  <c:v>1050</c:v>
                </c:pt>
                <c:pt idx="951">
                  <c:v>1051</c:v>
                </c:pt>
                <c:pt idx="952">
                  <c:v>1052</c:v>
                </c:pt>
                <c:pt idx="953">
                  <c:v>1053</c:v>
                </c:pt>
                <c:pt idx="954">
                  <c:v>1054</c:v>
                </c:pt>
                <c:pt idx="955">
                  <c:v>1055</c:v>
                </c:pt>
                <c:pt idx="956">
                  <c:v>1056</c:v>
                </c:pt>
                <c:pt idx="957">
                  <c:v>1057</c:v>
                </c:pt>
                <c:pt idx="958">
                  <c:v>1058</c:v>
                </c:pt>
                <c:pt idx="959">
                  <c:v>1059</c:v>
                </c:pt>
                <c:pt idx="960">
                  <c:v>1060</c:v>
                </c:pt>
                <c:pt idx="961">
                  <c:v>1061</c:v>
                </c:pt>
                <c:pt idx="962">
                  <c:v>1062</c:v>
                </c:pt>
                <c:pt idx="963">
                  <c:v>1063</c:v>
                </c:pt>
                <c:pt idx="964">
                  <c:v>1064</c:v>
                </c:pt>
                <c:pt idx="965">
                  <c:v>1065</c:v>
                </c:pt>
                <c:pt idx="966">
                  <c:v>1066</c:v>
                </c:pt>
                <c:pt idx="967">
                  <c:v>1067</c:v>
                </c:pt>
                <c:pt idx="968">
                  <c:v>1068</c:v>
                </c:pt>
                <c:pt idx="969">
                  <c:v>1069</c:v>
                </c:pt>
                <c:pt idx="970">
                  <c:v>1070</c:v>
                </c:pt>
                <c:pt idx="971">
                  <c:v>1071</c:v>
                </c:pt>
                <c:pt idx="972">
                  <c:v>1072</c:v>
                </c:pt>
                <c:pt idx="973">
                  <c:v>1073</c:v>
                </c:pt>
                <c:pt idx="974">
                  <c:v>1074</c:v>
                </c:pt>
                <c:pt idx="975">
                  <c:v>1075</c:v>
                </c:pt>
                <c:pt idx="976">
                  <c:v>1076</c:v>
                </c:pt>
                <c:pt idx="977">
                  <c:v>1077</c:v>
                </c:pt>
                <c:pt idx="978">
                  <c:v>1078</c:v>
                </c:pt>
                <c:pt idx="979">
                  <c:v>1079</c:v>
                </c:pt>
                <c:pt idx="980">
                  <c:v>1080</c:v>
                </c:pt>
                <c:pt idx="981">
                  <c:v>1081</c:v>
                </c:pt>
                <c:pt idx="982">
                  <c:v>1082</c:v>
                </c:pt>
                <c:pt idx="983">
                  <c:v>1083</c:v>
                </c:pt>
                <c:pt idx="984">
                  <c:v>1084</c:v>
                </c:pt>
                <c:pt idx="985">
                  <c:v>1085</c:v>
                </c:pt>
                <c:pt idx="986">
                  <c:v>1086</c:v>
                </c:pt>
                <c:pt idx="987">
                  <c:v>1087</c:v>
                </c:pt>
                <c:pt idx="988">
                  <c:v>1088</c:v>
                </c:pt>
                <c:pt idx="989">
                  <c:v>1089</c:v>
                </c:pt>
                <c:pt idx="990">
                  <c:v>1090</c:v>
                </c:pt>
                <c:pt idx="991">
                  <c:v>1091</c:v>
                </c:pt>
                <c:pt idx="992">
                  <c:v>1092</c:v>
                </c:pt>
                <c:pt idx="993">
                  <c:v>1093</c:v>
                </c:pt>
                <c:pt idx="994">
                  <c:v>1094</c:v>
                </c:pt>
                <c:pt idx="995">
                  <c:v>1095</c:v>
                </c:pt>
                <c:pt idx="996">
                  <c:v>1096</c:v>
                </c:pt>
                <c:pt idx="997">
                  <c:v>1097</c:v>
                </c:pt>
                <c:pt idx="998">
                  <c:v>1098</c:v>
                </c:pt>
                <c:pt idx="999">
                  <c:v>1099</c:v>
                </c:pt>
                <c:pt idx="1000">
                  <c:v>1100</c:v>
                </c:pt>
              </c:numCache>
            </c:numRef>
          </c:xVal>
          <c:yVal>
            <c:numRef>
              <c:f>'Detector 2017 01 24_v2'!$D$2:$D$902</c:f>
              <c:numCache>
                <c:formatCode>General</c:formatCode>
                <c:ptCount val="901"/>
                <c:pt idx="0">
                  <c:v>11.1394</c:v>
                </c:pt>
                <c:pt idx="1">
                  <c:v>11.3805</c:v>
                </c:pt>
                <c:pt idx="2">
                  <c:v>11.6081</c:v>
                </c:pt>
                <c:pt idx="3">
                  <c:v>11.8209</c:v>
                </c:pt>
                <c:pt idx="4">
                  <c:v>12.0176</c:v>
                </c:pt>
                <c:pt idx="5">
                  <c:v>12.1974</c:v>
                </c:pt>
                <c:pt idx="6">
                  <c:v>12.3596</c:v>
                </c:pt>
                <c:pt idx="7">
                  <c:v>12.5038</c:v>
                </c:pt>
                <c:pt idx="8">
                  <c:v>12.629899999999999</c:v>
                </c:pt>
                <c:pt idx="9">
                  <c:v>12.7378</c:v>
                </c:pt>
                <c:pt idx="10">
                  <c:v>12.8279</c:v>
                </c:pt>
                <c:pt idx="11">
                  <c:v>12.900600000000001</c:v>
                </c:pt>
                <c:pt idx="12">
                  <c:v>12.9567</c:v>
                </c:pt>
                <c:pt idx="13">
                  <c:v>12.9969</c:v>
                </c:pt>
                <c:pt idx="14">
                  <c:v>13.0221</c:v>
                </c:pt>
                <c:pt idx="15">
                  <c:v>13.033300000000001</c:v>
                </c:pt>
                <c:pt idx="16">
                  <c:v>13.031700000000001</c:v>
                </c:pt>
                <c:pt idx="17">
                  <c:v>13.0183</c:v>
                </c:pt>
                <c:pt idx="18">
                  <c:v>12.994199999999999</c:v>
                </c:pt>
                <c:pt idx="19">
                  <c:v>12.9605</c:v>
                </c:pt>
                <c:pt idx="20">
                  <c:v>12.9185</c:v>
                </c:pt>
                <c:pt idx="21">
                  <c:v>12.869</c:v>
                </c:pt>
                <c:pt idx="22">
                  <c:v>12.8131</c:v>
                </c:pt>
                <c:pt idx="23">
                  <c:v>12.751799999999999</c:v>
                </c:pt>
                <c:pt idx="24">
                  <c:v>12.6859</c:v>
                </c:pt>
                <c:pt idx="25">
                  <c:v>12.616300000000001</c:v>
                </c:pt>
                <c:pt idx="26">
                  <c:v>12.543799999999999</c:v>
                </c:pt>
                <c:pt idx="27">
                  <c:v>12.469099999999999</c:v>
                </c:pt>
                <c:pt idx="28">
                  <c:v>12.3927</c:v>
                </c:pt>
                <c:pt idx="29">
                  <c:v>12.315300000000001</c:v>
                </c:pt>
                <c:pt idx="30">
                  <c:v>12.237399999999999</c:v>
                </c:pt>
                <c:pt idx="31">
                  <c:v>12.1594</c:v>
                </c:pt>
                <c:pt idx="32">
                  <c:v>12.081799999999999</c:v>
                </c:pt>
                <c:pt idx="33">
                  <c:v>12.004899999999999</c:v>
                </c:pt>
                <c:pt idx="34">
                  <c:v>11.929</c:v>
                </c:pt>
                <c:pt idx="35">
                  <c:v>11.8544</c:v>
                </c:pt>
                <c:pt idx="36">
                  <c:v>11.7813</c:v>
                </c:pt>
                <c:pt idx="37">
                  <c:v>11.709899999999999</c:v>
                </c:pt>
                <c:pt idx="38">
                  <c:v>11.6404</c:v>
                </c:pt>
                <c:pt idx="39">
                  <c:v>11.572900000000001</c:v>
                </c:pt>
                <c:pt idx="40">
                  <c:v>11.5075</c:v>
                </c:pt>
                <c:pt idx="41">
                  <c:v>11.3468</c:v>
                </c:pt>
                <c:pt idx="42">
                  <c:v>11.1906</c:v>
                </c:pt>
                <c:pt idx="43">
                  <c:v>11.039</c:v>
                </c:pt>
                <c:pt idx="44">
                  <c:v>10.892099999999999</c:v>
                </c:pt>
                <c:pt idx="45">
                  <c:v>10.7499</c:v>
                </c:pt>
                <c:pt idx="46">
                  <c:v>10.645099999999999</c:v>
                </c:pt>
                <c:pt idx="47">
                  <c:v>10.544700000000001</c:v>
                </c:pt>
                <c:pt idx="48">
                  <c:v>10.448600000000001</c:v>
                </c:pt>
                <c:pt idx="49">
                  <c:v>10.3566</c:v>
                </c:pt>
                <c:pt idx="50">
                  <c:v>10.268800000000001</c:v>
                </c:pt>
                <c:pt idx="51">
                  <c:v>10.323600000000001</c:v>
                </c:pt>
                <c:pt idx="52">
                  <c:v>10.379799999999999</c:v>
                </c:pt>
                <c:pt idx="53">
                  <c:v>10.4375</c:v>
                </c:pt>
                <c:pt idx="54">
                  <c:v>10.4968</c:v>
                </c:pt>
                <c:pt idx="55">
                  <c:v>10.5578</c:v>
                </c:pt>
                <c:pt idx="56">
                  <c:v>10.611000000000001</c:v>
                </c:pt>
                <c:pt idx="57">
                  <c:v>10.6663</c:v>
                </c:pt>
                <c:pt idx="58">
                  <c:v>10.7235</c:v>
                </c:pt>
                <c:pt idx="59">
                  <c:v>10.7828</c:v>
                </c:pt>
                <c:pt idx="60">
                  <c:v>10.844200000000001</c:v>
                </c:pt>
                <c:pt idx="61">
                  <c:v>10.7791</c:v>
                </c:pt>
                <c:pt idx="62">
                  <c:v>10.7172</c:v>
                </c:pt>
                <c:pt idx="63">
                  <c:v>10.658300000000001</c:v>
                </c:pt>
                <c:pt idx="64">
                  <c:v>10.602499999999999</c:v>
                </c:pt>
                <c:pt idx="65">
                  <c:v>10.5495</c:v>
                </c:pt>
                <c:pt idx="66">
                  <c:v>10.522</c:v>
                </c:pt>
                <c:pt idx="67">
                  <c:v>10.4977</c:v>
                </c:pt>
                <c:pt idx="68">
                  <c:v>10.4765</c:v>
                </c:pt>
                <c:pt idx="69">
                  <c:v>10.458299999999999</c:v>
                </c:pt>
                <c:pt idx="70">
                  <c:v>10.443099999999999</c:v>
                </c:pt>
                <c:pt idx="71">
                  <c:v>10.5139</c:v>
                </c:pt>
                <c:pt idx="72">
                  <c:v>10.5867</c:v>
                </c:pt>
                <c:pt idx="73">
                  <c:v>10.661300000000001</c:v>
                </c:pt>
                <c:pt idx="74">
                  <c:v>10.7379</c:v>
                </c:pt>
                <c:pt idx="75">
                  <c:v>10.8163</c:v>
                </c:pt>
                <c:pt idx="76">
                  <c:v>10.9389</c:v>
                </c:pt>
                <c:pt idx="77">
                  <c:v>11.062900000000001</c:v>
                </c:pt>
                <c:pt idx="78">
                  <c:v>11.1883</c:v>
                </c:pt>
                <c:pt idx="79">
                  <c:v>11.315300000000001</c:v>
                </c:pt>
                <c:pt idx="80">
                  <c:v>11.4437</c:v>
                </c:pt>
                <c:pt idx="81">
                  <c:v>11.587</c:v>
                </c:pt>
                <c:pt idx="82">
                  <c:v>11.7318</c:v>
                </c:pt>
                <c:pt idx="83">
                  <c:v>11.8781</c:v>
                </c:pt>
                <c:pt idx="84">
                  <c:v>12.0258</c:v>
                </c:pt>
                <c:pt idx="85">
                  <c:v>12.1752</c:v>
                </c:pt>
                <c:pt idx="86">
                  <c:v>12.326000000000001</c:v>
                </c:pt>
                <c:pt idx="87">
                  <c:v>12.4785</c:v>
                </c:pt>
                <c:pt idx="88">
                  <c:v>12.6325</c:v>
                </c:pt>
                <c:pt idx="89">
                  <c:v>12.7882</c:v>
                </c:pt>
                <c:pt idx="90">
                  <c:v>12.945600000000001</c:v>
                </c:pt>
                <c:pt idx="91">
                  <c:v>13.770899999999999</c:v>
                </c:pt>
                <c:pt idx="92">
                  <c:v>14.617000000000001</c:v>
                </c:pt>
                <c:pt idx="93">
                  <c:v>15.486000000000001</c:v>
                </c:pt>
                <c:pt idx="94">
                  <c:v>16.380099999999999</c:v>
                </c:pt>
                <c:pt idx="95">
                  <c:v>17.301600000000001</c:v>
                </c:pt>
                <c:pt idx="96">
                  <c:v>18.252600000000001</c:v>
                </c:pt>
                <c:pt idx="97">
                  <c:v>19.2348</c:v>
                </c:pt>
                <c:pt idx="98">
                  <c:v>20.249400000000001</c:v>
                </c:pt>
                <c:pt idx="99">
                  <c:v>21.297799999999999</c:v>
                </c:pt>
                <c:pt idx="100">
                  <c:v>22.381</c:v>
                </c:pt>
                <c:pt idx="101">
                  <c:v>23.508199999999999</c:v>
                </c:pt>
                <c:pt idx="102">
                  <c:v>24.6721</c:v>
                </c:pt>
                <c:pt idx="103">
                  <c:v>25.872900000000001</c:v>
                </c:pt>
                <c:pt idx="104">
                  <c:v>27.110700000000001</c:v>
                </c:pt>
                <c:pt idx="105">
                  <c:v>28.385000000000002</c:v>
                </c:pt>
                <c:pt idx="106">
                  <c:v>29.7135</c:v>
                </c:pt>
                <c:pt idx="107">
                  <c:v>31.078199999999999</c:v>
                </c:pt>
                <c:pt idx="108">
                  <c:v>32.477899999999998</c:v>
                </c:pt>
                <c:pt idx="109">
                  <c:v>33.911299999999997</c:v>
                </c:pt>
                <c:pt idx="110">
                  <c:v>35.376600000000003</c:v>
                </c:pt>
                <c:pt idx="111">
                  <c:v>36.898099999999999</c:v>
                </c:pt>
                <c:pt idx="112">
                  <c:v>38.4482</c:v>
                </c:pt>
                <c:pt idx="113">
                  <c:v>40.024000000000001</c:v>
                </c:pt>
                <c:pt idx="114">
                  <c:v>41.622300000000003</c:v>
                </c:pt>
                <c:pt idx="115">
                  <c:v>43.239800000000002</c:v>
                </c:pt>
                <c:pt idx="116">
                  <c:v>44.912999999999997</c:v>
                </c:pt>
                <c:pt idx="117">
                  <c:v>46.598500000000001</c:v>
                </c:pt>
                <c:pt idx="118">
                  <c:v>48.291899999999998</c:v>
                </c:pt>
                <c:pt idx="119">
                  <c:v>49.988199999999999</c:v>
                </c:pt>
                <c:pt idx="120">
                  <c:v>51.682600000000001</c:v>
                </c:pt>
                <c:pt idx="121">
                  <c:v>53.531300000000002</c:v>
                </c:pt>
                <c:pt idx="122">
                  <c:v>55.366999999999997</c:v>
                </c:pt>
                <c:pt idx="123">
                  <c:v>57.183300000000003</c:v>
                </c:pt>
                <c:pt idx="124">
                  <c:v>58.9739</c:v>
                </c:pt>
                <c:pt idx="125">
                  <c:v>60.732100000000003</c:v>
                </c:pt>
                <c:pt idx="126">
                  <c:v>62.759799999999998</c:v>
                </c:pt>
                <c:pt idx="127">
                  <c:v>64.736599999999996</c:v>
                </c:pt>
                <c:pt idx="128">
                  <c:v>66.6554</c:v>
                </c:pt>
                <c:pt idx="129">
                  <c:v>68.509799999999998</c:v>
                </c:pt>
                <c:pt idx="130">
                  <c:v>70.293999999999997</c:v>
                </c:pt>
                <c:pt idx="131">
                  <c:v>71.833100000000002</c:v>
                </c:pt>
                <c:pt idx="132">
                  <c:v>73.308700000000002</c:v>
                </c:pt>
                <c:pt idx="133">
                  <c:v>74.717699999999994</c:v>
                </c:pt>
                <c:pt idx="134">
                  <c:v>76.057900000000004</c:v>
                </c:pt>
                <c:pt idx="135">
                  <c:v>77.327699999999993</c:v>
                </c:pt>
                <c:pt idx="136">
                  <c:v>78.051699999999997</c:v>
                </c:pt>
                <c:pt idx="137">
                  <c:v>78.717500000000001</c:v>
                </c:pt>
                <c:pt idx="138">
                  <c:v>79.324299999999994</c:v>
                </c:pt>
                <c:pt idx="139">
                  <c:v>79.877300000000005</c:v>
                </c:pt>
                <c:pt idx="140">
                  <c:v>80.393799999999999</c:v>
                </c:pt>
                <c:pt idx="141">
                  <c:v>80.698400000000007</c:v>
                </c:pt>
                <c:pt idx="142">
                  <c:v>80.963899999999995</c:v>
                </c:pt>
                <c:pt idx="143">
                  <c:v>81.191100000000006</c:v>
                </c:pt>
                <c:pt idx="144">
                  <c:v>81.381</c:v>
                </c:pt>
                <c:pt idx="145">
                  <c:v>81.534199999999998</c:v>
                </c:pt>
                <c:pt idx="146">
                  <c:v>81.678399999999996</c:v>
                </c:pt>
                <c:pt idx="147">
                  <c:v>81.778599999999997</c:v>
                </c:pt>
                <c:pt idx="148">
                  <c:v>81.835499999999996</c:v>
                </c:pt>
                <c:pt idx="149">
                  <c:v>81.849800000000002</c:v>
                </c:pt>
                <c:pt idx="150">
                  <c:v>81.822599999999994</c:v>
                </c:pt>
                <c:pt idx="151">
                  <c:v>81.7791</c:v>
                </c:pt>
                <c:pt idx="152">
                  <c:v>81.691000000000003</c:v>
                </c:pt>
                <c:pt idx="153">
                  <c:v>81.558800000000005</c:v>
                </c:pt>
                <c:pt idx="154">
                  <c:v>81.382999999999996</c:v>
                </c:pt>
                <c:pt idx="155">
                  <c:v>81.164299999999997</c:v>
                </c:pt>
                <c:pt idx="156">
                  <c:v>80.894300000000001</c:v>
                </c:pt>
                <c:pt idx="157">
                  <c:v>80.574600000000004</c:v>
                </c:pt>
                <c:pt idx="158">
                  <c:v>80.206800000000001</c:v>
                </c:pt>
                <c:pt idx="159">
                  <c:v>79.792500000000004</c:v>
                </c:pt>
                <c:pt idx="160">
                  <c:v>79.333799999999997</c:v>
                </c:pt>
                <c:pt idx="161">
                  <c:v>78.874600000000001</c:v>
                </c:pt>
                <c:pt idx="162">
                  <c:v>78.366900000000001</c:v>
                </c:pt>
                <c:pt idx="163">
                  <c:v>77.813599999999994</c:v>
                </c:pt>
                <c:pt idx="164">
                  <c:v>77.218000000000004</c:v>
                </c:pt>
                <c:pt idx="165">
                  <c:v>76.583200000000005</c:v>
                </c:pt>
                <c:pt idx="166">
                  <c:v>76.046599999999998</c:v>
                </c:pt>
                <c:pt idx="167">
                  <c:v>75.458100000000002</c:v>
                </c:pt>
                <c:pt idx="168">
                  <c:v>74.822999999999993</c:v>
                </c:pt>
                <c:pt idx="169">
                  <c:v>74.146100000000004</c:v>
                </c:pt>
                <c:pt idx="170">
                  <c:v>73.432100000000005</c:v>
                </c:pt>
                <c:pt idx="171">
                  <c:v>73.029600000000002</c:v>
                </c:pt>
                <c:pt idx="172">
                  <c:v>72.565399999999997</c:v>
                </c:pt>
                <c:pt idx="173">
                  <c:v>72.046899999999994</c:v>
                </c:pt>
                <c:pt idx="174">
                  <c:v>71.480800000000002</c:v>
                </c:pt>
                <c:pt idx="175">
                  <c:v>70.8733</c:v>
                </c:pt>
                <c:pt idx="176">
                  <c:v>70.730199999999996</c:v>
                </c:pt>
                <c:pt idx="177">
                  <c:v>70.508700000000005</c:v>
                </c:pt>
                <c:pt idx="178">
                  <c:v>70.218000000000004</c:v>
                </c:pt>
                <c:pt idx="179">
                  <c:v>69.866200000000006</c:v>
                </c:pt>
                <c:pt idx="180">
                  <c:v>69.460800000000006</c:v>
                </c:pt>
                <c:pt idx="181">
                  <c:v>69.390799999999999</c:v>
                </c:pt>
                <c:pt idx="182">
                  <c:v>69.242000000000004</c:v>
                </c:pt>
                <c:pt idx="183">
                  <c:v>69.023499999999999</c:v>
                </c:pt>
                <c:pt idx="184">
                  <c:v>68.743099999999998</c:v>
                </c:pt>
                <c:pt idx="185">
                  <c:v>68.408000000000001</c:v>
                </c:pt>
                <c:pt idx="186">
                  <c:v>68.709100000000007</c:v>
                </c:pt>
                <c:pt idx="187">
                  <c:v>68.900899999999993</c:v>
                </c:pt>
                <c:pt idx="188">
                  <c:v>68.992999999999995</c:v>
                </c:pt>
                <c:pt idx="189">
                  <c:v>68.994399999999999</c:v>
                </c:pt>
                <c:pt idx="190">
                  <c:v>68.913499999999999</c:v>
                </c:pt>
                <c:pt idx="191">
                  <c:v>69.406199999999998</c:v>
                </c:pt>
                <c:pt idx="192">
                  <c:v>69.832099999999997</c:v>
                </c:pt>
                <c:pt idx="193">
                  <c:v>70.192499999999995</c:v>
                </c:pt>
                <c:pt idx="194">
                  <c:v>70.488900000000001</c:v>
                </c:pt>
                <c:pt idx="195">
                  <c:v>70.722999999999999</c:v>
                </c:pt>
                <c:pt idx="196">
                  <c:v>71.052300000000002</c:v>
                </c:pt>
                <c:pt idx="197">
                  <c:v>71.360399999999998</c:v>
                </c:pt>
                <c:pt idx="198">
                  <c:v>71.646600000000007</c:v>
                </c:pt>
                <c:pt idx="199">
                  <c:v>71.910499999999999</c:v>
                </c:pt>
                <c:pt idx="200">
                  <c:v>72.151600000000002</c:v>
                </c:pt>
                <c:pt idx="201">
                  <c:v>72.313599999999994</c:v>
                </c:pt>
                <c:pt idx="202">
                  <c:v>72.470100000000002</c:v>
                </c:pt>
                <c:pt idx="203">
                  <c:v>72.620900000000006</c:v>
                </c:pt>
                <c:pt idx="204">
                  <c:v>72.765699999999995</c:v>
                </c:pt>
                <c:pt idx="205">
                  <c:v>72.904300000000006</c:v>
                </c:pt>
                <c:pt idx="206">
                  <c:v>72.936700000000002</c:v>
                </c:pt>
                <c:pt idx="207">
                  <c:v>72.968100000000007</c:v>
                </c:pt>
                <c:pt idx="208">
                  <c:v>72.998400000000004</c:v>
                </c:pt>
                <c:pt idx="209">
                  <c:v>73.027600000000007</c:v>
                </c:pt>
                <c:pt idx="210">
                  <c:v>73.055599999999998</c:v>
                </c:pt>
                <c:pt idx="211">
                  <c:v>73.005399999999995</c:v>
                </c:pt>
                <c:pt idx="212">
                  <c:v>72.955600000000004</c:v>
                </c:pt>
                <c:pt idx="213">
                  <c:v>72.906199999999998</c:v>
                </c:pt>
                <c:pt idx="214">
                  <c:v>72.856999999999999</c:v>
                </c:pt>
                <c:pt idx="215">
                  <c:v>72.808000000000007</c:v>
                </c:pt>
                <c:pt idx="216">
                  <c:v>72.704499999999996</c:v>
                </c:pt>
                <c:pt idx="217">
                  <c:v>72.601799999999997</c:v>
                </c:pt>
                <c:pt idx="218">
                  <c:v>72.499899999999997</c:v>
                </c:pt>
                <c:pt idx="219">
                  <c:v>72.398899999999998</c:v>
                </c:pt>
                <c:pt idx="220">
                  <c:v>72.298500000000004</c:v>
                </c:pt>
                <c:pt idx="221">
                  <c:v>72.170400000000001</c:v>
                </c:pt>
                <c:pt idx="222">
                  <c:v>72.043099999999995</c:v>
                </c:pt>
                <c:pt idx="223">
                  <c:v>71.916600000000003</c:v>
                </c:pt>
                <c:pt idx="224">
                  <c:v>71.790999999999997</c:v>
                </c:pt>
                <c:pt idx="225">
                  <c:v>71.666200000000003</c:v>
                </c:pt>
                <c:pt idx="226">
                  <c:v>71.510099999999994</c:v>
                </c:pt>
                <c:pt idx="227">
                  <c:v>71.355000000000004</c:v>
                </c:pt>
                <c:pt idx="228">
                  <c:v>71.200900000000004</c:v>
                </c:pt>
                <c:pt idx="229">
                  <c:v>71.047799999999995</c:v>
                </c:pt>
                <c:pt idx="230">
                  <c:v>70.895700000000005</c:v>
                </c:pt>
                <c:pt idx="231">
                  <c:v>70.715299999999999</c:v>
                </c:pt>
                <c:pt idx="232">
                  <c:v>70.536100000000005</c:v>
                </c:pt>
                <c:pt idx="233">
                  <c:v>70.357900000000001</c:v>
                </c:pt>
                <c:pt idx="234">
                  <c:v>70.180899999999994</c:v>
                </c:pt>
                <c:pt idx="235">
                  <c:v>70.004900000000006</c:v>
                </c:pt>
                <c:pt idx="236">
                  <c:v>69.799199999999999</c:v>
                </c:pt>
                <c:pt idx="237">
                  <c:v>69.594700000000003</c:v>
                </c:pt>
                <c:pt idx="238">
                  <c:v>69.391499999999994</c:v>
                </c:pt>
                <c:pt idx="239">
                  <c:v>69.189599999999999</c:v>
                </c:pt>
                <c:pt idx="240">
                  <c:v>68.988799999999998</c:v>
                </c:pt>
                <c:pt idx="241">
                  <c:v>68.758899999999997</c:v>
                </c:pt>
                <c:pt idx="242">
                  <c:v>68.530299999999997</c:v>
                </c:pt>
                <c:pt idx="243">
                  <c:v>68.302999999999997</c:v>
                </c:pt>
                <c:pt idx="244">
                  <c:v>68.077100000000002</c:v>
                </c:pt>
                <c:pt idx="245">
                  <c:v>67.852500000000006</c:v>
                </c:pt>
                <c:pt idx="246">
                  <c:v>67.571799999999996</c:v>
                </c:pt>
                <c:pt idx="247">
                  <c:v>67.292900000000003</c:v>
                </c:pt>
                <c:pt idx="248">
                  <c:v>67.015799999999999</c:v>
                </c:pt>
                <c:pt idx="249">
                  <c:v>66.740399999999994</c:v>
                </c:pt>
                <c:pt idx="250">
                  <c:v>66.466800000000006</c:v>
                </c:pt>
                <c:pt idx="251">
                  <c:v>66.083200000000005</c:v>
                </c:pt>
                <c:pt idx="252">
                  <c:v>65.702699999999993</c:v>
                </c:pt>
                <c:pt idx="253">
                  <c:v>65.325000000000003</c:v>
                </c:pt>
                <c:pt idx="254">
                  <c:v>64.950299999999999</c:v>
                </c:pt>
                <c:pt idx="255">
                  <c:v>64.578599999999994</c:v>
                </c:pt>
                <c:pt idx="256">
                  <c:v>64.049899999999994</c:v>
                </c:pt>
                <c:pt idx="257">
                  <c:v>63.526299999999999</c:v>
                </c:pt>
                <c:pt idx="258">
                  <c:v>63.0077</c:v>
                </c:pt>
                <c:pt idx="259">
                  <c:v>62.494199999999999</c:v>
                </c:pt>
                <c:pt idx="260">
                  <c:v>61.985700000000001</c:v>
                </c:pt>
                <c:pt idx="261">
                  <c:v>61.479799999999997</c:v>
                </c:pt>
                <c:pt idx="262">
                  <c:v>60.969099999999997</c:v>
                </c:pt>
                <c:pt idx="263">
                  <c:v>60.454300000000003</c:v>
                </c:pt>
                <c:pt idx="264">
                  <c:v>59.936500000000002</c:v>
                </c:pt>
                <c:pt idx="265">
                  <c:v>59.4163</c:v>
                </c:pt>
                <c:pt idx="266">
                  <c:v>59.196599999999997</c:v>
                </c:pt>
                <c:pt idx="267">
                  <c:v>58.9482</c:v>
                </c:pt>
                <c:pt idx="268">
                  <c:v>58.672800000000002</c:v>
                </c:pt>
                <c:pt idx="269">
                  <c:v>58.3718</c:v>
                </c:pt>
                <c:pt idx="270">
                  <c:v>58.046799999999998</c:v>
                </c:pt>
                <c:pt idx="271">
                  <c:v>58.135800000000003</c:v>
                </c:pt>
                <c:pt idx="272">
                  <c:v>58.195599999999999</c:v>
                </c:pt>
                <c:pt idx="273">
                  <c:v>58.2254</c:v>
                </c:pt>
                <c:pt idx="274">
                  <c:v>58.225099999999998</c:v>
                </c:pt>
                <c:pt idx="275">
                  <c:v>58.194099999999999</c:v>
                </c:pt>
                <c:pt idx="276">
                  <c:v>58.442700000000002</c:v>
                </c:pt>
                <c:pt idx="277">
                  <c:v>58.679400000000001</c:v>
                </c:pt>
                <c:pt idx="278">
                  <c:v>58.903300000000002</c:v>
                </c:pt>
                <c:pt idx="279">
                  <c:v>59.113300000000002</c:v>
                </c:pt>
                <c:pt idx="280">
                  <c:v>59.308700000000002</c:v>
                </c:pt>
                <c:pt idx="281">
                  <c:v>59.567399999999999</c:v>
                </c:pt>
                <c:pt idx="282">
                  <c:v>59.824800000000003</c:v>
                </c:pt>
                <c:pt idx="283">
                  <c:v>60.080599999999997</c:v>
                </c:pt>
                <c:pt idx="284">
                  <c:v>60.334600000000002</c:v>
                </c:pt>
                <c:pt idx="285">
                  <c:v>60.586300000000001</c:v>
                </c:pt>
                <c:pt idx="286">
                  <c:v>60.786999999999999</c:v>
                </c:pt>
                <c:pt idx="287">
                  <c:v>60.988700000000001</c:v>
                </c:pt>
                <c:pt idx="288">
                  <c:v>61.191299999999998</c:v>
                </c:pt>
                <c:pt idx="289">
                  <c:v>61.3947</c:v>
                </c:pt>
                <c:pt idx="290">
                  <c:v>61.598799999999997</c:v>
                </c:pt>
                <c:pt idx="291">
                  <c:v>61.752400000000002</c:v>
                </c:pt>
                <c:pt idx="292">
                  <c:v>61.9071</c:v>
                </c:pt>
                <c:pt idx="293">
                  <c:v>62.062800000000003</c:v>
                </c:pt>
                <c:pt idx="294">
                  <c:v>62.219700000000003</c:v>
                </c:pt>
                <c:pt idx="295">
                  <c:v>62.377499999999998</c:v>
                </c:pt>
                <c:pt idx="296">
                  <c:v>62.505499999999998</c:v>
                </c:pt>
                <c:pt idx="297">
                  <c:v>62.634599999999999</c:v>
                </c:pt>
                <c:pt idx="298">
                  <c:v>62.764899999999997</c:v>
                </c:pt>
                <c:pt idx="299">
                  <c:v>62.8962</c:v>
                </c:pt>
                <c:pt idx="300">
                  <c:v>63.028500000000001</c:v>
                </c:pt>
                <c:pt idx="301">
                  <c:v>63.143300000000004</c:v>
                </c:pt>
                <c:pt idx="302">
                  <c:v>63.2592</c:v>
                </c:pt>
                <c:pt idx="303">
                  <c:v>63.376199999999997</c:v>
                </c:pt>
                <c:pt idx="304">
                  <c:v>63.494199999999999</c:v>
                </c:pt>
                <c:pt idx="305">
                  <c:v>63.613300000000002</c:v>
                </c:pt>
                <c:pt idx="306">
                  <c:v>63.7166</c:v>
                </c:pt>
                <c:pt idx="307">
                  <c:v>63.820900000000002</c:v>
                </c:pt>
                <c:pt idx="308">
                  <c:v>63.926400000000001</c:v>
                </c:pt>
                <c:pt idx="309">
                  <c:v>64.032899999999998</c:v>
                </c:pt>
                <c:pt idx="310">
                  <c:v>64.1404</c:v>
                </c:pt>
                <c:pt idx="311">
                  <c:v>64.233599999999996</c:v>
                </c:pt>
                <c:pt idx="312">
                  <c:v>64.327799999999996</c:v>
                </c:pt>
                <c:pt idx="313">
                  <c:v>64.423000000000002</c:v>
                </c:pt>
                <c:pt idx="314">
                  <c:v>64.519199999999998</c:v>
                </c:pt>
                <c:pt idx="315">
                  <c:v>64.616500000000002</c:v>
                </c:pt>
                <c:pt idx="316">
                  <c:v>64.700199999999995</c:v>
                </c:pt>
                <c:pt idx="317">
                  <c:v>64.784899999999993</c:v>
                </c:pt>
                <c:pt idx="318">
                  <c:v>64.870500000000007</c:v>
                </c:pt>
                <c:pt idx="319">
                  <c:v>64.957099999999997</c:v>
                </c:pt>
                <c:pt idx="320">
                  <c:v>65.044700000000006</c:v>
                </c:pt>
                <c:pt idx="321">
                  <c:v>65.119200000000006</c:v>
                </c:pt>
                <c:pt idx="322">
                  <c:v>65.194599999999994</c:v>
                </c:pt>
                <c:pt idx="323">
                  <c:v>65.271000000000001</c:v>
                </c:pt>
                <c:pt idx="324">
                  <c:v>65.348200000000006</c:v>
                </c:pt>
                <c:pt idx="325">
                  <c:v>65.426299999999998</c:v>
                </c:pt>
                <c:pt idx="326">
                  <c:v>65.492199999999997</c:v>
                </c:pt>
                <c:pt idx="327">
                  <c:v>65.558899999999994</c:v>
                </c:pt>
                <c:pt idx="328">
                  <c:v>65.626400000000004</c:v>
                </c:pt>
                <c:pt idx="329">
                  <c:v>65.694699999999997</c:v>
                </c:pt>
                <c:pt idx="330">
                  <c:v>65.763800000000003</c:v>
                </c:pt>
                <c:pt idx="331">
                  <c:v>65.821700000000007</c:v>
                </c:pt>
                <c:pt idx="332">
                  <c:v>65.880300000000005</c:v>
                </c:pt>
                <c:pt idx="333">
                  <c:v>65.939700000000002</c:v>
                </c:pt>
                <c:pt idx="334">
                  <c:v>65.999799999999993</c:v>
                </c:pt>
                <c:pt idx="335">
                  <c:v>66.060599999999994</c:v>
                </c:pt>
                <c:pt idx="336">
                  <c:v>66.111099999999993</c:v>
                </c:pt>
                <c:pt idx="337">
                  <c:v>66.162300000000002</c:v>
                </c:pt>
                <c:pt idx="338">
                  <c:v>66.214200000000005</c:v>
                </c:pt>
                <c:pt idx="339">
                  <c:v>66.2667</c:v>
                </c:pt>
                <c:pt idx="340">
                  <c:v>66.319900000000004</c:v>
                </c:pt>
                <c:pt idx="341">
                  <c:v>66.364099999999993</c:v>
                </c:pt>
                <c:pt idx="342">
                  <c:v>66.409000000000006</c:v>
                </c:pt>
                <c:pt idx="343">
                  <c:v>66.454400000000007</c:v>
                </c:pt>
                <c:pt idx="344">
                  <c:v>66.500500000000002</c:v>
                </c:pt>
                <c:pt idx="345">
                  <c:v>66.547200000000004</c:v>
                </c:pt>
                <c:pt idx="346">
                  <c:v>66.585899999999995</c:v>
                </c:pt>
                <c:pt idx="347">
                  <c:v>66.625200000000007</c:v>
                </c:pt>
                <c:pt idx="348">
                  <c:v>66.665099999999995</c:v>
                </c:pt>
                <c:pt idx="349">
                  <c:v>66.705500000000001</c:v>
                </c:pt>
                <c:pt idx="350">
                  <c:v>66.746499999999997</c:v>
                </c:pt>
                <c:pt idx="351">
                  <c:v>66.781899999999993</c:v>
                </c:pt>
                <c:pt idx="352">
                  <c:v>66.817899999999995</c:v>
                </c:pt>
                <c:pt idx="353">
                  <c:v>66.854299999999995</c:v>
                </c:pt>
                <c:pt idx="354">
                  <c:v>66.891300000000001</c:v>
                </c:pt>
                <c:pt idx="355">
                  <c:v>66.928700000000006</c:v>
                </c:pt>
                <c:pt idx="356">
                  <c:v>66.960300000000004</c:v>
                </c:pt>
                <c:pt idx="357">
                  <c:v>66.9923</c:v>
                </c:pt>
                <c:pt idx="358">
                  <c:v>67.024799999999999</c:v>
                </c:pt>
                <c:pt idx="359">
                  <c:v>67.0578</c:v>
                </c:pt>
                <c:pt idx="360">
                  <c:v>67.091200000000001</c:v>
                </c:pt>
                <c:pt idx="361">
                  <c:v>67.119500000000002</c:v>
                </c:pt>
                <c:pt idx="362">
                  <c:v>67.148200000000003</c:v>
                </c:pt>
                <c:pt idx="363">
                  <c:v>67.177400000000006</c:v>
                </c:pt>
                <c:pt idx="364">
                  <c:v>67.206900000000005</c:v>
                </c:pt>
                <c:pt idx="365">
                  <c:v>67.236900000000006</c:v>
                </c:pt>
                <c:pt idx="366">
                  <c:v>67.262500000000003</c:v>
                </c:pt>
                <c:pt idx="367">
                  <c:v>67.288499999999999</c:v>
                </c:pt>
                <c:pt idx="368">
                  <c:v>67.314800000000005</c:v>
                </c:pt>
                <c:pt idx="369">
                  <c:v>67.3416</c:v>
                </c:pt>
                <c:pt idx="370">
                  <c:v>67.368700000000004</c:v>
                </c:pt>
                <c:pt idx="371">
                  <c:v>67.391900000000007</c:v>
                </c:pt>
                <c:pt idx="372">
                  <c:v>67.415400000000005</c:v>
                </c:pt>
                <c:pt idx="373">
                  <c:v>67.439300000000003</c:v>
                </c:pt>
                <c:pt idx="374">
                  <c:v>67.4636</c:v>
                </c:pt>
                <c:pt idx="375">
                  <c:v>67.488200000000006</c:v>
                </c:pt>
                <c:pt idx="376">
                  <c:v>67.509399999999999</c:v>
                </c:pt>
                <c:pt idx="377">
                  <c:v>67.530900000000003</c:v>
                </c:pt>
                <c:pt idx="378">
                  <c:v>67.552700000000002</c:v>
                </c:pt>
                <c:pt idx="379">
                  <c:v>67.5749</c:v>
                </c:pt>
                <c:pt idx="380">
                  <c:v>67.597399999999993</c:v>
                </c:pt>
                <c:pt idx="381">
                  <c:v>67.616699999999994</c:v>
                </c:pt>
                <c:pt idx="382">
                  <c:v>67.636399999999995</c:v>
                </c:pt>
                <c:pt idx="383">
                  <c:v>67.656400000000005</c:v>
                </c:pt>
                <c:pt idx="384">
                  <c:v>67.676699999999997</c:v>
                </c:pt>
                <c:pt idx="385">
                  <c:v>67.697299999999998</c:v>
                </c:pt>
                <c:pt idx="386">
                  <c:v>67.715100000000007</c:v>
                </c:pt>
                <c:pt idx="387">
                  <c:v>67.733099999999993</c:v>
                </c:pt>
                <c:pt idx="388">
                  <c:v>67.751499999999993</c:v>
                </c:pt>
                <c:pt idx="389">
                  <c:v>67.770099999999999</c:v>
                </c:pt>
                <c:pt idx="390">
                  <c:v>67.789100000000005</c:v>
                </c:pt>
                <c:pt idx="391">
                  <c:v>67.805499999999995</c:v>
                </c:pt>
                <c:pt idx="392">
                  <c:v>67.822199999999995</c:v>
                </c:pt>
                <c:pt idx="393">
                  <c:v>67.839200000000005</c:v>
                </c:pt>
                <c:pt idx="394">
                  <c:v>67.856499999999997</c:v>
                </c:pt>
                <c:pt idx="395">
                  <c:v>67.874099999999999</c:v>
                </c:pt>
                <c:pt idx="396">
                  <c:v>67.889200000000002</c:v>
                </c:pt>
                <c:pt idx="397">
                  <c:v>67.904600000000002</c:v>
                </c:pt>
                <c:pt idx="398">
                  <c:v>67.920299999999997</c:v>
                </c:pt>
                <c:pt idx="399">
                  <c:v>67.936300000000003</c:v>
                </c:pt>
                <c:pt idx="400">
                  <c:v>67.952500000000001</c:v>
                </c:pt>
                <c:pt idx="401">
                  <c:v>67.967399999999998</c:v>
                </c:pt>
                <c:pt idx="402">
                  <c:v>67.982500000000002</c:v>
                </c:pt>
                <c:pt idx="403">
                  <c:v>67.997900000000001</c:v>
                </c:pt>
                <c:pt idx="404">
                  <c:v>68.013499999999993</c:v>
                </c:pt>
                <c:pt idx="405">
                  <c:v>68.029300000000006</c:v>
                </c:pt>
                <c:pt idx="406">
                  <c:v>68.043099999999995</c:v>
                </c:pt>
                <c:pt idx="407">
                  <c:v>68.057000000000002</c:v>
                </c:pt>
                <c:pt idx="408">
                  <c:v>68.071200000000005</c:v>
                </c:pt>
                <c:pt idx="409">
                  <c:v>68.085700000000003</c:v>
                </c:pt>
                <c:pt idx="410">
                  <c:v>68.100300000000004</c:v>
                </c:pt>
                <c:pt idx="411">
                  <c:v>68.113200000000006</c:v>
                </c:pt>
                <c:pt idx="412">
                  <c:v>68.126300000000001</c:v>
                </c:pt>
                <c:pt idx="413">
                  <c:v>68.139600000000002</c:v>
                </c:pt>
                <c:pt idx="414">
                  <c:v>68.153199999999998</c:v>
                </c:pt>
                <c:pt idx="415">
                  <c:v>68.166899999999998</c:v>
                </c:pt>
                <c:pt idx="416">
                  <c:v>68.178899999999999</c:v>
                </c:pt>
                <c:pt idx="417">
                  <c:v>68.191000000000003</c:v>
                </c:pt>
                <c:pt idx="418">
                  <c:v>68.203400000000002</c:v>
                </c:pt>
                <c:pt idx="419">
                  <c:v>68.215900000000005</c:v>
                </c:pt>
                <c:pt idx="420">
                  <c:v>68.228700000000003</c:v>
                </c:pt>
                <c:pt idx="421">
                  <c:v>68.239900000000006</c:v>
                </c:pt>
                <c:pt idx="422">
                  <c:v>68.251400000000004</c:v>
                </c:pt>
                <c:pt idx="423">
                  <c:v>68.263000000000005</c:v>
                </c:pt>
                <c:pt idx="424">
                  <c:v>68.274900000000002</c:v>
                </c:pt>
                <c:pt idx="425">
                  <c:v>68.286900000000003</c:v>
                </c:pt>
                <c:pt idx="426">
                  <c:v>68.297499999999999</c:v>
                </c:pt>
                <c:pt idx="427">
                  <c:v>68.308199999999999</c:v>
                </c:pt>
                <c:pt idx="428">
                  <c:v>68.319100000000006</c:v>
                </c:pt>
                <c:pt idx="429">
                  <c:v>68.33</c:v>
                </c:pt>
                <c:pt idx="430">
                  <c:v>68.341300000000004</c:v>
                </c:pt>
                <c:pt idx="431">
                  <c:v>68.351200000000006</c:v>
                </c:pt>
                <c:pt idx="432">
                  <c:v>68.361199999999997</c:v>
                </c:pt>
                <c:pt idx="433">
                  <c:v>68.371399999999994</c:v>
                </c:pt>
                <c:pt idx="434">
                  <c:v>68.381799999999998</c:v>
                </c:pt>
                <c:pt idx="435">
                  <c:v>68.392300000000006</c:v>
                </c:pt>
                <c:pt idx="436">
                  <c:v>68.401700000000005</c:v>
                </c:pt>
                <c:pt idx="437">
                  <c:v>68.411100000000005</c:v>
                </c:pt>
                <c:pt idx="438">
                  <c:v>68.420699999999997</c:v>
                </c:pt>
                <c:pt idx="439">
                  <c:v>68.430499999999995</c:v>
                </c:pt>
                <c:pt idx="440">
                  <c:v>68.4405</c:v>
                </c:pt>
                <c:pt idx="441">
                  <c:v>68.449299999999994</c:v>
                </c:pt>
                <c:pt idx="442">
                  <c:v>68.458100000000002</c:v>
                </c:pt>
                <c:pt idx="443">
                  <c:v>68.467200000000005</c:v>
                </c:pt>
                <c:pt idx="444">
                  <c:v>68.476399999999998</c:v>
                </c:pt>
                <c:pt idx="445">
                  <c:v>68.485699999999994</c:v>
                </c:pt>
                <c:pt idx="446">
                  <c:v>68.493899999999996</c:v>
                </c:pt>
                <c:pt idx="447">
                  <c:v>68.502300000000005</c:v>
                </c:pt>
                <c:pt idx="448">
                  <c:v>68.510800000000003</c:v>
                </c:pt>
                <c:pt idx="449">
                  <c:v>68.519499999999994</c:v>
                </c:pt>
                <c:pt idx="450">
                  <c:v>68.528199999999998</c:v>
                </c:pt>
                <c:pt idx="451">
                  <c:v>68.535899999999998</c:v>
                </c:pt>
                <c:pt idx="452">
                  <c:v>68.543899999999994</c:v>
                </c:pt>
                <c:pt idx="453">
                  <c:v>68.551900000000003</c:v>
                </c:pt>
                <c:pt idx="454">
                  <c:v>68.56</c:v>
                </c:pt>
                <c:pt idx="455">
                  <c:v>68.568299999999994</c:v>
                </c:pt>
                <c:pt idx="456">
                  <c:v>68.575599999999994</c:v>
                </c:pt>
                <c:pt idx="457">
                  <c:v>68.583100000000002</c:v>
                </c:pt>
                <c:pt idx="458">
                  <c:v>68.590599999999995</c:v>
                </c:pt>
                <c:pt idx="459">
                  <c:v>68.598399999999998</c:v>
                </c:pt>
                <c:pt idx="460">
                  <c:v>68.606099999999998</c:v>
                </c:pt>
                <c:pt idx="461">
                  <c:v>68.613</c:v>
                </c:pt>
                <c:pt idx="462">
                  <c:v>68.619900000000001</c:v>
                </c:pt>
                <c:pt idx="463">
                  <c:v>68.626900000000006</c:v>
                </c:pt>
                <c:pt idx="464">
                  <c:v>68.634100000000004</c:v>
                </c:pt>
                <c:pt idx="465">
                  <c:v>68.641300000000001</c:v>
                </c:pt>
                <c:pt idx="466">
                  <c:v>68.6477</c:v>
                </c:pt>
                <c:pt idx="467">
                  <c:v>68.654200000000003</c:v>
                </c:pt>
                <c:pt idx="468">
                  <c:v>68.660799999999995</c:v>
                </c:pt>
                <c:pt idx="469">
                  <c:v>68.667599999999993</c:v>
                </c:pt>
                <c:pt idx="470">
                  <c:v>68.674400000000006</c:v>
                </c:pt>
                <c:pt idx="471">
                  <c:v>68.680300000000003</c:v>
                </c:pt>
                <c:pt idx="472">
                  <c:v>68.686499999999995</c:v>
                </c:pt>
                <c:pt idx="473">
                  <c:v>68.692599999999999</c:v>
                </c:pt>
                <c:pt idx="474">
                  <c:v>68.698899999999995</c:v>
                </c:pt>
                <c:pt idx="475">
                  <c:v>68.705299999999994</c:v>
                </c:pt>
                <c:pt idx="476">
                  <c:v>68.710899999999995</c:v>
                </c:pt>
                <c:pt idx="477">
                  <c:v>68.716499999999996</c:v>
                </c:pt>
                <c:pt idx="478">
                  <c:v>68.722200000000001</c:v>
                </c:pt>
                <c:pt idx="479">
                  <c:v>68.727900000000005</c:v>
                </c:pt>
                <c:pt idx="480">
                  <c:v>68.733699999999999</c:v>
                </c:pt>
                <c:pt idx="481">
                  <c:v>68.738799999999998</c:v>
                </c:pt>
                <c:pt idx="482">
                  <c:v>68.744</c:v>
                </c:pt>
                <c:pt idx="483">
                  <c:v>68.749200000000002</c:v>
                </c:pt>
                <c:pt idx="484">
                  <c:v>68.754499999999993</c:v>
                </c:pt>
                <c:pt idx="485">
                  <c:v>68.759799999999998</c:v>
                </c:pt>
                <c:pt idx="486">
                  <c:v>68.764399999999995</c:v>
                </c:pt>
                <c:pt idx="487">
                  <c:v>68.769000000000005</c:v>
                </c:pt>
                <c:pt idx="488">
                  <c:v>68.773600000000002</c:v>
                </c:pt>
                <c:pt idx="489">
                  <c:v>68.778300000000002</c:v>
                </c:pt>
                <c:pt idx="490">
                  <c:v>68.783100000000005</c:v>
                </c:pt>
                <c:pt idx="491">
                  <c:v>68.787199999999999</c:v>
                </c:pt>
                <c:pt idx="492">
                  <c:v>68.791300000000007</c:v>
                </c:pt>
                <c:pt idx="493">
                  <c:v>68.795500000000004</c:v>
                </c:pt>
                <c:pt idx="494">
                  <c:v>68.799700000000001</c:v>
                </c:pt>
                <c:pt idx="495">
                  <c:v>68.803899999999999</c:v>
                </c:pt>
                <c:pt idx="496">
                  <c:v>68.807299999999998</c:v>
                </c:pt>
                <c:pt idx="497">
                  <c:v>68.810699999999997</c:v>
                </c:pt>
                <c:pt idx="498">
                  <c:v>68.814099999999996</c:v>
                </c:pt>
                <c:pt idx="499">
                  <c:v>68.817300000000003</c:v>
                </c:pt>
                <c:pt idx="500">
                  <c:v>68.820700000000002</c:v>
                </c:pt>
                <c:pt idx="501">
                  <c:v>68.823800000000006</c:v>
                </c:pt>
                <c:pt idx="502">
                  <c:v>68.826800000000006</c:v>
                </c:pt>
                <c:pt idx="503">
                  <c:v>68.829700000000003</c:v>
                </c:pt>
                <c:pt idx="504">
                  <c:v>68.832700000000003</c:v>
                </c:pt>
                <c:pt idx="505">
                  <c:v>68.835499999999996</c:v>
                </c:pt>
                <c:pt idx="506">
                  <c:v>68.837800000000001</c:v>
                </c:pt>
                <c:pt idx="507">
                  <c:v>68.8399</c:v>
                </c:pt>
                <c:pt idx="508">
                  <c:v>68.842100000000002</c:v>
                </c:pt>
                <c:pt idx="509">
                  <c:v>68.844200000000001</c:v>
                </c:pt>
                <c:pt idx="510">
                  <c:v>68.846100000000007</c:v>
                </c:pt>
                <c:pt idx="511">
                  <c:v>68.847499999999997</c:v>
                </c:pt>
                <c:pt idx="512">
                  <c:v>68.848699999999994</c:v>
                </c:pt>
                <c:pt idx="513">
                  <c:v>68.849800000000002</c:v>
                </c:pt>
                <c:pt idx="514">
                  <c:v>68.850999999999999</c:v>
                </c:pt>
                <c:pt idx="515">
                  <c:v>68.851900000000001</c:v>
                </c:pt>
                <c:pt idx="516">
                  <c:v>68.852099999999993</c:v>
                </c:pt>
                <c:pt idx="517">
                  <c:v>68.8523</c:v>
                </c:pt>
                <c:pt idx="518">
                  <c:v>68.852400000000003</c:v>
                </c:pt>
                <c:pt idx="519">
                  <c:v>68.852199999999996</c:v>
                </c:pt>
                <c:pt idx="520">
                  <c:v>68.851799999999997</c:v>
                </c:pt>
                <c:pt idx="521">
                  <c:v>68.850899999999996</c:v>
                </c:pt>
                <c:pt idx="522">
                  <c:v>68.849800000000002</c:v>
                </c:pt>
                <c:pt idx="523">
                  <c:v>68.848399999999998</c:v>
                </c:pt>
                <c:pt idx="524">
                  <c:v>68.846900000000005</c:v>
                </c:pt>
                <c:pt idx="525">
                  <c:v>68.845200000000006</c:v>
                </c:pt>
                <c:pt idx="526">
                  <c:v>68.8429</c:v>
                </c:pt>
                <c:pt idx="527">
                  <c:v>68.840400000000002</c:v>
                </c:pt>
                <c:pt idx="528">
                  <c:v>68.837599999999995</c:v>
                </c:pt>
                <c:pt idx="529">
                  <c:v>68.834699999999998</c:v>
                </c:pt>
                <c:pt idx="530">
                  <c:v>68.831299999999999</c:v>
                </c:pt>
                <c:pt idx="531">
                  <c:v>68.827399999999997</c:v>
                </c:pt>
                <c:pt idx="532">
                  <c:v>68.8232</c:v>
                </c:pt>
                <c:pt idx="533">
                  <c:v>68.818700000000007</c:v>
                </c:pt>
                <c:pt idx="534">
                  <c:v>68.813800000000001</c:v>
                </c:pt>
                <c:pt idx="535">
                  <c:v>68.808700000000002</c:v>
                </c:pt>
                <c:pt idx="536">
                  <c:v>68.802999999999997</c:v>
                </c:pt>
                <c:pt idx="537">
                  <c:v>68.796999999999997</c:v>
                </c:pt>
                <c:pt idx="538">
                  <c:v>68.790499999999994</c:v>
                </c:pt>
                <c:pt idx="539">
                  <c:v>68.783699999999996</c:v>
                </c:pt>
                <c:pt idx="540">
                  <c:v>68.776499999999999</c:v>
                </c:pt>
                <c:pt idx="541">
                  <c:v>68.768799999999999</c:v>
                </c:pt>
                <c:pt idx="542">
                  <c:v>68.760599999999997</c:v>
                </c:pt>
                <c:pt idx="543">
                  <c:v>68.751999999999995</c:v>
                </c:pt>
                <c:pt idx="544">
                  <c:v>68.742900000000006</c:v>
                </c:pt>
                <c:pt idx="545">
                  <c:v>68.733400000000003</c:v>
                </c:pt>
                <c:pt idx="546">
                  <c:v>68.723399999999998</c:v>
                </c:pt>
                <c:pt idx="547">
                  <c:v>68.712800000000001</c:v>
                </c:pt>
                <c:pt idx="548">
                  <c:v>68.701800000000006</c:v>
                </c:pt>
                <c:pt idx="549">
                  <c:v>68.690299999999993</c:v>
                </c:pt>
                <c:pt idx="550">
                  <c:v>68.678200000000004</c:v>
                </c:pt>
                <c:pt idx="551">
                  <c:v>68.665599999999998</c:v>
                </c:pt>
                <c:pt idx="552">
                  <c:v>68.6524</c:v>
                </c:pt>
                <c:pt idx="553">
                  <c:v>68.6387</c:v>
                </c:pt>
                <c:pt idx="554">
                  <c:v>68.624399999999994</c:v>
                </c:pt>
                <c:pt idx="555">
                  <c:v>68.609499999999997</c:v>
                </c:pt>
                <c:pt idx="556">
                  <c:v>68.593999999999994</c:v>
                </c:pt>
                <c:pt idx="557">
                  <c:v>68.5779</c:v>
                </c:pt>
                <c:pt idx="558">
                  <c:v>68.561199999999999</c:v>
                </c:pt>
                <c:pt idx="559">
                  <c:v>68.543800000000005</c:v>
                </c:pt>
                <c:pt idx="560">
                  <c:v>68.525700000000001</c:v>
                </c:pt>
                <c:pt idx="561">
                  <c:v>68.507000000000005</c:v>
                </c:pt>
                <c:pt idx="562">
                  <c:v>68.487700000000004</c:v>
                </c:pt>
                <c:pt idx="563">
                  <c:v>68.467500000000001</c:v>
                </c:pt>
                <c:pt idx="564">
                  <c:v>68.446700000000007</c:v>
                </c:pt>
                <c:pt idx="565">
                  <c:v>68.4251</c:v>
                </c:pt>
                <c:pt idx="566">
                  <c:v>68.403000000000006</c:v>
                </c:pt>
                <c:pt idx="567">
                  <c:v>68.380099999999999</c:v>
                </c:pt>
                <c:pt idx="568">
                  <c:v>68.356399999999994</c:v>
                </c:pt>
                <c:pt idx="569">
                  <c:v>68.331900000000005</c:v>
                </c:pt>
                <c:pt idx="570">
                  <c:v>68.3065</c:v>
                </c:pt>
                <c:pt idx="571">
                  <c:v>68.280699999999996</c:v>
                </c:pt>
                <c:pt idx="572">
                  <c:v>68.254000000000005</c:v>
                </c:pt>
                <c:pt idx="573">
                  <c:v>68.226399999999998</c:v>
                </c:pt>
                <c:pt idx="574">
                  <c:v>68.197800000000001</c:v>
                </c:pt>
                <c:pt idx="575">
                  <c:v>68.168300000000002</c:v>
                </c:pt>
                <c:pt idx="576">
                  <c:v>68.138400000000004</c:v>
                </c:pt>
                <c:pt idx="577">
                  <c:v>68.107600000000005</c:v>
                </c:pt>
                <c:pt idx="578">
                  <c:v>68.075699999999998</c:v>
                </c:pt>
                <c:pt idx="579">
                  <c:v>68.042900000000003</c:v>
                </c:pt>
                <c:pt idx="580">
                  <c:v>68.009100000000004</c:v>
                </c:pt>
                <c:pt idx="581">
                  <c:v>67.974800000000002</c:v>
                </c:pt>
                <c:pt idx="582">
                  <c:v>67.939499999999995</c:v>
                </c:pt>
                <c:pt idx="583">
                  <c:v>67.903199999999998</c:v>
                </c:pt>
                <c:pt idx="584">
                  <c:v>67.865799999999993</c:v>
                </c:pt>
                <c:pt idx="585">
                  <c:v>67.827299999999994</c:v>
                </c:pt>
                <c:pt idx="586">
                  <c:v>67.788300000000007</c:v>
                </c:pt>
                <c:pt idx="587">
                  <c:v>67.7483</c:v>
                </c:pt>
                <c:pt idx="588">
                  <c:v>67.7072</c:v>
                </c:pt>
                <c:pt idx="589">
                  <c:v>67.6648</c:v>
                </c:pt>
                <c:pt idx="590">
                  <c:v>67.621200000000002</c:v>
                </c:pt>
                <c:pt idx="591">
                  <c:v>67.577500000000001</c:v>
                </c:pt>
                <c:pt idx="592">
                  <c:v>67.532300000000006</c:v>
                </c:pt>
                <c:pt idx="593">
                  <c:v>67.486199999999997</c:v>
                </c:pt>
                <c:pt idx="594">
                  <c:v>67.438699999999997</c:v>
                </c:pt>
                <c:pt idx="595">
                  <c:v>67.389899999999997</c:v>
                </c:pt>
                <c:pt idx="596">
                  <c:v>67.340900000000005</c:v>
                </c:pt>
                <c:pt idx="597">
                  <c:v>67.290700000000001</c:v>
                </c:pt>
                <c:pt idx="598">
                  <c:v>67.239000000000004</c:v>
                </c:pt>
                <c:pt idx="599">
                  <c:v>67.186199999999999</c:v>
                </c:pt>
                <c:pt idx="600">
                  <c:v>67.131900000000002</c:v>
                </c:pt>
                <c:pt idx="601">
                  <c:v>67.077500000000001</c:v>
                </c:pt>
                <c:pt idx="602">
                  <c:v>67.021900000000002</c:v>
                </c:pt>
                <c:pt idx="603">
                  <c:v>66.964799999999997</c:v>
                </c:pt>
                <c:pt idx="604">
                  <c:v>66.906300000000002</c:v>
                </c:pt>
                <c:pt idx="605">
                  <c:v>66.846500000000006</c:v>
                </c:pt>
                <c:pt idx="606">
                  <c:v>66.786600000000007</c:v>
                </c:pt>
                <c:pt idx="607">
                  <c:v>66.725300000000004</c:v>
                </c:pt>
                <c:pt idx="608">
                  <c:v>66.662499999999994</c:v>
                </c:pt>
                <c:pt idx="609">
                  <c:v>66.598299999999995</c:v>
                </c:pt>
                <c:pt idx="610">
                  <c:v>66.532600000000002</c:v>
                </c:pt>
                <c:pt idx="611">
                  <c:v>66.466800000000006</c:v>
                </c:pt>
                <c:pt idx="612">
                  <c:v>66.3994</c:v>
                </c:pt>
                <c:pt idx="613">
                  <c:v>66.330699999999993</c:v>
                </c:pt>
                <c:pt idx="614">
                  <c:v>66.260300000000001</c:v>
                </c:pt>
                <c:pt idx="615">
                  <c:v>66.188299999999998</c:v>
                </c:pt>
                <c:pt idx="616">
                  <c:v>66.116699999999994</c:v>
                </c:pt>
                <c:pt idx="617">
                  <c:v>66.043499999999995</c:v>
                </c:pt>
                <c:pt idx="618">
                  <c:v>65.968800000000002</c:v>
                </c:pt>
                <c:pt idx="619">
                  <c:v>65.892399999999995</c:v>
                </c:pt>
                <c:pt idx="620">
                  <c:v>65.814400000000006</c:v>
                </c:pt>
                <c:pt idx="621">
                  <c:v>65.736699999999999</c:v>
                </c:pt>
                <c:pt idx="622">
                  <c:v>65.657200000000003</c:v>
                </c:pt>
                <c:pt idx="623">
                  <c:v>65.576300000000003</c:v>
                </c:pt>
                <c:pt idx="624">
                  <c:v>65.493499999999997</c:v>
                </c:pt>
                <c:pt idx="625">
                  <c:v>65.409199999999998</c:v>
                </c:pt>
                <c:pt idx="626">
                  <c:v>65.325199999999995</c:v>
                </c:pt>
                <c:pt idx="627">
                  <c:v>65.239500000000007</c:v>
                </c:pt>
                <c:pt idx="628">
                  <c:v>65.152199999999993</c:v>
                </c:pt>
                <c:pt idx="629">
                  <c:v>65.063199999999995</c:v>
                </c:pt>
                <c:pt idx="630">
                  <c:v>64.972399999999993</c:v>
                </c:pt>
                <c:pt idx="631">
                  <c:v>64.882199999999997</c:v>
                </c:pt>
                <c:pt idx="632">
                  <c:v>64.790199999999999</c:v>
                </c:pt>
                <c:pt idx="633">
                  <c:v>64.696600000000004</c:v>
                </c:pt>
                <c:pt idx="634">
                  <c:v>64.601200000000006</c:v>
                </c:pt>
                <c:pt idx="635">
                  <c:v>64.504099999999994</c:v>
                </c:pt>
                <c:pt idx="636">
                  <c:v>64.407600000000002</c:v>
                </c:pt>
                <c:pt idx="637">
                  <c:v>64.3095</c:v>
                </c:pt>
                <c:pt idx="638">
                  <c:v>64.209599999999995</c:v>
                </c:pt>
                <c:pt idx="639">
                  <c:v>64.107900000000001</c:v>
                </c:pt>
                <c:pt idx="640">
                  <c:v>64.004499999999993</c:v>
                </c:pt>
                <c:pt idx="641">
                  <c:v>63.901499999999999</c:v>
                </c:pt>
                <c:pt idx="642">
                  <c:v>63.796799999999998</c:v>
                </c:pt>
                <c:pt idx="643">
                  <c:v>63.690300000000001</c:v>
                </c:pt>
                <c:pt idx="644">
                  <c:v>63.581899999999997</c:v>
                </c:pt>
                <c:pt idx="645">
                  <c:v>63.471699999999998</c:v>
                </c:pt>
                <c:pt idx="646">
                  <c:v>63.3628</c:v>
                </c:pt>
                <c:pt idx="647">
                  <c:v>63.252200000000002</c:v>
                </c:pt>
                <c:pt idx="648">
                  <c:v>63.139699999999998</c:v>
                </c:pt>
                <c:pt idx="649">
                  <c:v>63.025300000000001</c:v>
                </c:pt>
                <c:pt idx="650">
                  <c:v>62.909100000000002</c:v>
                </c:pt>
                <c:pt idx="651">
                  <c:v>62.794199999999996</c:v>
                </c:pt>
                <c:pt idx="652">
                  <c:v>62.677399999999999</c:v>
                </c:pt>
                <c:pt idx="653">
                  <c:v>62.558799999999998</c:v>
                </c:pt>
                <c:pt idx="654">
                  <c:v>62.438400000000001</c:v>
                </c:pt>
                <c:pt idx="655">
                  <c:v>62.316099999999999</c:v>
                </c:pt>
                <c:pt idx="656">
                  <c:v>62.195</c:v>
                </c:pt>
                <c:pt idx="657">
                  <c:v>62.072099999999999</c:v>
                </c:pt>
                <c:pt idx="658">
                  <c:v>61.947299999999998</c:v>
                </c:pt>
                <c:pt idx="659">
                  <c:v>61.820599999999999</c:v>
                </c:pt>
                <c:pt idx="660">
                  <c:v>61.692100000000003</c:v>
                </c:pt>
                <c:pt idx="661">
                  <c:v>61.564999999999998</c:v>
                </c:pt>
                <c:pt idx="662">
                  <c:v>61.436100000000003</c:v>
                </c:pt>
                <c:pt idx="663">
                  <c:v>61.305399999999999</c:v>
                </c:pt>
                <c:pt idx="664">
                  <c:v>61.172800000000002</c:v>
                </c:pt>
                <c:pt idx="665">
                  <c:v>61.038400000000003</c:v>
                </c:pt>
                <c:pt idx="666">
                  <c:v>60.905500000000004</c:v>
                </c:pt>
                <c:pt idx="667">
                  <c:v>60.770899999999997</c:v>
                </c:pt>
                <c:pt idx="668">
                  <c:v>60.634399999999999</c:v>
                </c:pt>
                <c:pt idx="669">
                  <c:v>60.496000000000002</c:v>
                </c:pt>
                <c:pt idx="670">
                  <c:v>60.355800000000002</c:v>
                </c:pt>
                <c:pt idx="671">
                  <c:v>60.217199999999998</c:v>
                </c:pt>
                <c:pt idx="672">
                  <c:v>60.076799999999999</c:v>
                </c:pt>
                <c:pt idx="673">
                  <c:v>59.934399999999997</c:v>
                </c:pt>
                <c:pt idx="674">
                  <c:v>59.790300000000002</c:v>
                </c:pt>
                <c:pt idx="675">
                  <c:v>59.644199999999998</c:v>
                </c:pt>
                <c:pt idx="676">
                  <c:v>59.500999999999998</c:v>
                </c:pt>
                <c:pt idx="677">
                  <c:v>59.355899999999998</c:v>
                </c:pt>
                <c:pt idx="678">
                  <c:v>59.209000000000003</c:v>
                </c:pt>
                <c:pt idx="679">
                  <c:v>59.060200000000002</c:v>
                </c:pt>
                <c:pt idx="680">
                  <c:v>58.909599999999998</c:v>
                </c:pt>
                <c:pt idx="681">
                  <c:v>58.7607</c:v>
                </c:pt>
                <c:pt idx="682">
                  <c:v>58.61</c:v>
                </c:pt>
                <c:pt idx="683">
                  <c:v>58.4574</c:v>
                </c:pt>
                <c:pt idx="684">
                  <c:v>58.303100000000001</c:v>
                </c:pt>
                <c:pt idx="685">
                  <c:v>58.146900000000002</c:v>
                </c:pt>
                <c:pt idx="686">
                  <c:v>57.993099999999998</c:v>
                </c:pt>
                <c:pt idx="687">
                  <c:v>57.837499999999999</c:v>
                </c:pt>
                <c:pt idx="688">
                  <c:v>57.680199999999999</c:v>
                </c:pt>
                <c:pt idx="689">
                  <c:v>57.521000000000001</c:v>
                </c:pt>
                <c:pt idx="690">
                  <c:v>57.359900000000003</c:v>
                </c:pt>
                <c:pt idx="691">
                  <c:v>57.201700000000002</c:v>
                </c:pt>
                <c:pt idx="692">
                  <c:v>57.041800000000002</c:v>
                </c:pt>
                <c:pt idx="693">
                  <c:v>56.880099999999999</c:v>
                </c:pt>
                <c:pt idx="694">
                  <c:v>56.716500000000003</c:v>
                </c:pt>
                <c:pt idx="695">
                  <c:v>56.551200000000001</c:v>
                </c:pt>
                <c:pt idx="696">
                  <c:v>56.389000000000003</c:v>
                </c:pt>
                <c:pt idx="697">
                  <c:v>56.225099999999998</c:v>
                </c:pt>
                <c:pt idx="698">
                  <c:v>56.0595</c:v>
                </c:pt>
                <c:pt idx="699">
                  <c:v>55.892000000000003</c:v>
                </c:pt>
                <c:pt idx="700">
                  <c:v>55.722900000000003</c:v>
                </c:pt>
                <c:pt idx="701">
                  <c:v>55.5565</c:v>
                </c:pt>
                <c:pt idx="702">
                  <c:v>55.388500000000001</c:v>
                </c:pt>
                <c:pt idx="703">
                  <c:v>55.218800000000002</c:v>
                </c:pt>
                <c:pt idx="704">
                  <c:v>55.047400000000003</c:v>
                </c:pt>
                <c:pt idx="705">
                  <c:v>54.874099999999999</c:v>
                </c:pt>
                <c:pt idx="706">
                  <c:v>54.704000000000001</c:v>
                </c:pt>
                <c:pt idx="707">
                  <c:v>54.532400000000003</c:v>
                </c:pt>
                <c:pt idx="708">
                  <c:v>54.358899999999998</c:v>
                </c:pt>
                <c:pt idx="709">
                  <c:v>54.183799999999998</c:v>
                </c:pt>
                <c:pt idx="710">
                  <c:v>54.006999999999998</c:v>
                </c:pt>
                <c:pt idx="711">
                  <c:v>53.833599999999997</c:v>
                </c:pt>
                <c:pt idx="712">
                  <c:v>53.6586</c:v>
                </c:pt>
                <c:pt idx="713">
                  <c:v>53.481900000000003</c:v>
                </c:pt>
                <c:pt idx="714">
                  <c:v>53.303600000000003</c:v>
                </c:pt>
                <c:pt idx="715">
                  <c:v>53.123699999999999</c:v>
                </c:pt>
                <c:pt idx="716">
                  <c:v>52.947499999999998</c:v>
                </c:pt>
                <c:pt idx="717">
                  <c:v>52.769799999999996</c:v>
                </c:pt>
                <c:pt idx="718">
                  <c:v>52.590400000000002</c:v>
                </c:pt>
                <c:pt idx="719">
                  <c:v>52.409399999999998</c:v>
                </c:pt>
                <c:pt idx="720">
                  <c:v>52.226900000000001</c:v>
                </c:pt>
                <c:pt idx="721">
                  <c:v>52.048400000000001</c:v>
                </c:pt>
                <c:pt idx="722">
                  <c:v>51.868400000000001</c:v>
                </c:pt>
                <c:pt idx="723">
                  <c:v>51.686900000000001</c:v>
                </c:pt>
                <c:pt idx="724">
                  <c:v>51.503799999999998</c:v>
                </c:pt>
                <c:pt idx="725">
                  <c:v>51.319099999999999</c:v>
                </c:pt>
                <c:pt idx="726">
                  <c:v>51.137099999999997</c:v>
                </c:pt>
                <c:pt idx="727">
                  <c:v>50.953600000000002</c:v>
                </c:pt>
                <c:pt idx="728">
                  <c:v>50.768599999999999</c:v>
                </c:pt>
                <c:pt idx="729">
                  <c:v>50.582099999999997</c:v>
                </c:pt>
                <c:pt idx="730">
                  <c:v>50.394100000000002</c:v>
                </c:pt>
                <c:pt idx="731">
                  <c:v>50.210799999999999</c:v>
                </c:pt>
                <c:pt idx="732">
                  <c:v>50.026000000000003</c:v>
                </c:pt>
                <c:pt idx="733">
                  <c:v>49.8399</c:v>
                </c:pt>
                <c:pt idx="734">
                  <c:v>49.652200000000001</c:v>
                </c:pt>
                <c:pt idx="735">
                  <c:v>49.463099999999997</c:v>
                </c:pt>
                <c:pt idx="736">
                  <c:v>49.2791</c:v>
                </c:pt>
                <c:pt idx="737">
                  <c:v>49.093600000000002</c:v>
                </c:pt>
                <c:pt idx="738">
                  <c:v>48.906799999999997</c:v>
                </c:pt>
                <c:pt idx="739">
                  <c:v>48.718699999999998</c:v>
                </c:pt>
                <c:pt idx="740">
                  <c:v>48.5291</c:v>
                </c:pt>
                <c:pt idx="741">
                  <c:v>48.3429</c:v>
                </c:pt>
                <c:pt idx="742">
                  <c:v>48.155500000000004</c:v>
                </c:pt>
                <c:pt idx="743">
                  <c:v>47.966700000000003</c:v>
                </c:pt>
                <c:pt idx="744">
                  <c:v>47.776499999999999</c:v>
                </c:pt>
                <c:pt idx="745">
                  <c:v>47.585000000000001</c:v>
                </c:pt>
                <c:pt idx="746">
                  <c:v>47.397100000000002</c:v>
                </c:pt>
                <c:pt idx="747">
                  <c:v>47.207999999999998</c:v>
                </c:pt>
                <c:pt idx="748">
                  <c:v>47.017600000000002</c:v>
                </c:pt>
                <c:pt idx="749">
                  <c:v>46.825800000000001</c:v>
                </c:pt>
                <c:pt idx="750">
                  <c:v>46.632800000000003</c:v>
                </c:pt>
                <c:pt idx="751">
                  <c:v>46.445799999999998</c:v>
                </c:pt>
                <c:pt idx="752">
                  <c:v>46.257599999999996</c:v>
                </c:pt>
                <c:pt idx="753">
                  <c:v>46.068300000000001</c:v>
                </c:pt>
                <c:pt idx="754">
                  <c:v>45.877600000000001</c:v>
                </c:pt>
                <c:pt idx="755">
                  <c:v>45.685699999999997</c:v>
                </c:pt>
                <c:pt idx="756">
                  <c:v>45.497999999999998</c:v>
                </c:pt>
                <c:pt idx="757">
                  <c:v>45.3093</c:v>
                </c:pt>
                <c:pt idx="758">
                  <c:v>45.119300000000003</c:v>
                </c:pt>
                <c:pt idx="759">
                  <c:v>44.928100000000001</c:v>
                </c:pt>
                <c:pt idx="760">
                  <c:v>44.735700000000001</c:v>
                </c:pt>
                <c:pt idx="761">
                  <c:v>44.547899999999998</c:v>
                </c:pt>
                <c:pt idx="762">
                  <c:v>44.358899999999998</c:v>
                </c:pt>
                <c:pt idx="763">
                  <c:v>44.168799999999997</c:v>
                </c:pt>
                <c:pt idx="764">
                  <c:v>43.977499999999999</c:v>
                </c:pt>
                <c:pt idx="765">
                  <c:v>43.7851</c:v>
                </c:pt>
                <c:pt idx="766">
                  <c:v>43.5974</c:v>
                </c:pt>
                <c:pt idx="767">
                  <c:v>43.408700000000003</c:v>
                </c:pt>
                <c:pt idx="768">
                  <c:v>43.219000000000001</c:v>
                </c:pt>
                <c:pt idx="769">
                  <c:v>43.028100000000002</c:v>
                </c:pt>
                <c:pt idx="770">
                  <c:v>42.836100000000002</c:v>
                </c:pt>
                <c:pt idx="771">
                  <c:v>42.649099999999997</c:v>
                </c:pt>
                <c:pt idx="772">
                  <c:v>42.461199999999998</c:v>
                </c:pt>
                <c:pt idx="773">
                  <c:v>42.272300000000001</c:v>
                </c:pt>
                <c:pt idx="774">
                  <c:v>42.082299999999996</c:v>
                </c:pt>
                <c:pt idx="775">
                  <c:v>41.891100000000002</c:v>
                </c:pt>
                <c:pt idx="776">
                  <c:v>41.705500000000001</c:v>
                </c:pt>
                <c:pt idx="777">
                  <c:v>41.518700000000003</c:v>
                </c:pt>
                <c:pt idx="778">
                  <c:v>41.331099999999999</c:v>
                </c:pt>
                <c:pt idx="779">
                  <c:v>41.142400000000002</c:v>
                </c:pt>
                <c:pt idx="780">
                  <c:v>40.9527</c:v>
                </c:pt>
                <c:pt idx="781">
                  <c:v>40.768700000000003</c:v>
                </c:pt>
                <c:pt idx="782">
                  <c:v>40.583799999999997</c:v>
                </c:pt>
                <c:pt idx="783">
                  <c:v>40.397799999999997</c:v>
                </c:pt>
                <c:pt idx="784">
                  <c:v>40.210999999999999</c:v>
                </c:pt>
                <c:pt idx="785">
                  <c:v>40.023200000000003</c:v>
                </c:pt>
                <c:pt idx="786">
                  <c:v>39.8414</c:v>
                </c:pt>
                <c:pt idx="787">
                  <c:v>39.6586</c:v>
                </c:pt>
                <c:pt idx="788">
                  <c:v>39.475000000000001</c:v>
                </c:pt>
                <c:pt idx="789">
                  <c:v>39.290599999999998</c:v>
                </c:pt>
                <c:pt idx="790">
                  <c:v>39.105200000000004</c:v>
                </c:pt>
                <c:pt idx="791">
                  <c:v>38.924700000000001</c:v>
                </c:pt>
                <c:pt idx="792">
                  <c:v>38.743200000000002</c:v>
                </c:pt>
                <c:pt idx="793">
                  <c:v>38.561</c:v>
                </c:pt>
                <c:pt idx="794">
                  <c:v>38.377899999999997</c:v>
                </c:pt>
                <c:pt idx="795">
                  <c:v>38.194000000000003</c:v>
                </c:pt>
                <c:pt idx="796">
                  <c:v>38.015099999999997</c:v>
                </c:pt>
                <c:pt idx="797">
                  <c:v>37.8354</c:v>
                </c:pt>
                <c:pt idx="798">
                  <c:v>37.655000000000001</c:v>
                </c:pt>
                <c:pt idx="799">
                  <c:v>37.473700000000001</c:v>
                </c:pt>
                <c:pt idx="800">
                  <c:v>37.291699999999999</c:v>
                </c:pt>
                <c:pt idx="801">
                  <c:v>37.116300000000003</c:v>
                </c:pt>
                <c:pt idx="802">
                  <c:v>36.940199999999997</c:v>
                </c:pt>
                <c:pt idx="803">
                  <c:v>36.763399999999997</c:v>
                </c:pt>
                <c:pt idx="804">
                  <c:v>36.585799999999999</c:v>
                </c:pt>
                <c:pt idx="805">
                  <c:v>36.407600000000002</c:v>
                </c:pt>
                <c:pt idx="806">
                  <c:v>36.233199999999997</c:v>
                </c:pt>
                <c:pt idx="807">
                  <c:v>36.058199999999999</c:v>
                </c:pt>
                <c:pt idx="808">
                  <c:v>35.882399999999997</c:v>
                </c:pt>
                <c:pt idx="809">
                  <c:v>35.706000000000003</c:v>
                </c:pt>
                <c:pt idx="810">
                  <c:v>35.5289</c:v>
                </c:pt>
                <c:pt idx="811">
                  <c:v>35.358899999999998</c:v>
                </c:pt>
                <c:pt idx="812">
                  <c:v>35.188400000000001</c:v>
                </c:pt>
                <c:pt idx="813">
                  <c:v>35.017099999999999</c:v>
                </c:pt>
                <c:pt idx="814">
                  <c:v>34.845300000000002</c:v>
                </c:pt>
                <c:pt idx="815">
                  <c:v>34.672800000000002</c:v>
                </c:pt>
                <c:pt idx="816">
                  <c:v>34.5062</c:v>
                </c:pt>
                <c:pt idx="817">
                  <c:v>34.338999999999999</c:v>
                </c:pt>
                <c:pt idx="818">
                  <c:v>34.171100000000003</c:v>
                </c:pt>
                <c:pt idx="819">
                  <c:v>34.002800000000001</c:v>
                </c:pt>
                <c:pt idx="820">
                  <c:v>33.8339</c:v>
                </c:pt>
                <c:pt idx="821">
                  <c:v>33.670900000000003</c:v>
                </c:pt>
                <c:pt idx="822">
                  <c:v>33.507399999999997</c:v>
                </c:pt>
                <c:pt idx="823">
                  <c:v>33.343400000000003</c:v>
                </c:pt>
                <c:pt idx="824">
                  <c:v>33.178899999999999</c:v>
                </c:pt>
                <c:pt idx="825">
                  <c:v>33.013800000000003</c:v>
                </c:pt>
                <c:pt idx="826">
                  <c:v>32.853400000000001</c:v>
                </c:pt>
                <c:pt idx="827">
                  <c:v>32.692300000000003</c:v>
                </c:pt>
                <c:pt idx="828">
                  <c:v>32.530799999999999</c:v>
                </c:pt>
                <c:pt idx="829">
                  <c:v>32.3688</c:v>
                </c:pt>
                <c:pt idx="830">
                  <c:v>32.206299999999999</c:v>
                </c:pt>
                <c:pt idx="831">
                  <c:v>32.0501</c:v>
                </c:pt>
                <c:pt idx="832">
                  <c:v>31.8935</c:v>
                </c:pt>
                <c:pt idx="833">
                  <c:v>31.7364</c:v>
                </c:pt>
                <c:pt idx="834">
                  <c:v>31.579000000000001</c:v>
                </c:pt>
                <c:pt idx="835">
                  <c:v>31.421099999999999</c:v>
                </c:pt>
                <c:pt idx="836">
                  <c:v>31.268000000000001</c:v>
                </c:pt>
                <c:pt idx="837">
                  <c:v>31.1145</c:v>
                </c:pt>
                <c:pt idx="838">
                  <c:v>30.960599999999999</c:v>
                </c:pt>
                <c:pt idx="839">
                  <c:v>30.8062</c:v>
                </c:pt>
                <c:pt idx="840">
                  <c:v>30.651499999999999</c:v>
                </c:pt>
                <c:pt idx="841">
                  <c:v>30.503499999999999</c:v>
                </c:pt>
                <c:pt idx="842">
                  <c:v>30.3551</c:v>
                </c:pt>
                <c:pt idx="843">
                  <c:v>30.206299999999999</c:v>
                </c:pt>
                <c:pt idx="844">
                  <c:v>30.057200000000002</c:v>
                </c:pt>
                <c:pt idx="845">
                  <c:v>29.907800000000002</c:v>
                </c:pt>
                <c:pt idx="846">
                  <c:v>29.7652</c:v>
                </c:pt>
                <c:pt idx="847">
                  <c:v>29.622299999999999</c:v>
                </c:pt>
                <c:pt idx="848">
                  <c:v>29.479099999999999</c:v>
                </c:pt>
                <c:pt idx="849">
                  <c:v>29.3355</c:v>
                </c:pt>
                <c:pt idx="850">
                  <c:v>29.191800000000001</c:v>
                </c:pt>
                <c:pt idx="851">
                  <c:v>29.051300000000001</c:v>
                </c:pt>
                <c:pt idx="852">
                  <c:v>28.910499999999999</c:v>
                </c:pt>
                <c:pt idx="853">
                  <c:v>28.769400000000001</c:v>
                </c:pt>
                <c:pt idx="854">
                  <c:v>28.6282</c:v>
                </c:pt>
                <c:pt idx="855">
                  <c:v>28.486499999999999</c:v>
                </c:pt>
                <c:pt idx="856">
                  <c:v>28.3521</c:v>
                </c:pt>
                <c:pt idx="857">
                  <c:v>28.217400000000001</c:v>
                </c:pt>
                <c:pt idx="858">
                  <c:v>28.0823</c:v>
                </c:pt>
                <c:pt idx="859">
                  <c:v>27.947099999999999</c:v>
                </c:pt>
                <c:pt idx="860">
                  <c:v>27.811800000000002</c:v>
                </c:pt>
                <c:pt idx="861">
                  <c:v>27.681699999999999</c:v>
                </c:pt>
                <c:pt idx="862">
                  <c:v>27.551500000000001</c:v>
                </c:pt>
                <c:pt idx="863">
                  <c:v>27.421099999999999</c:v>
                </c:pt>
                <c:pt idx="864">
                  <c:v>27.290400000000002</c:v>
                </c:pt>
                <c:pt idx="865">
                  <c:v>27.159500000000001</c:v>
                </c:pt>
                <c:pt idx="866">
                  <c:v>27.034199999999998</c:v>
                </c:pt>
                <c:pt idx="867">
                  <c:v>26.9086</c:v>
                </c:pt>
                <c:pt idx="868">
                  <c:v>26.783000000000001</c:v>
                </c:pt>
                <c:pt idx="869">
                  <c:v>26.6571</c:v>
                </c:pt>
                <c:pt idx="870">
                  <c:v>26.530999999999999</c:v>
                </c:pt>
                <c:pt idx="871">
                  <c:v>26.410599999999999</c:v>
                </c:pt>
                <c:pt idx="872">
                  <c:v>26.29</c:v>
                </c:pt>
                <c:pt idx="873">
                  <c:v>26.1693</c:v>
                </c:pt>
                <c:pt idx="874">
                  <c:v>26.048300000000001</c:v>
                </c:pt>
                <c:pt idx="875">
                  <c:v>25.927299999999999</c:v>
                </c:pt>
                <c:pt idx="876">
                  <c:v>25.810099999999998</c:v>
                </c:pt>
                <c:pt idx="877">
                  <c:v>25.692599999999999</c:v>
                </c:pt>
                <c:pt idx="878">
                  <c:v>25.574999999999999</c:v>
                </c:pt>
                <c:pt idx="879">
                  <c:v>25.4574</c:v>
                </c:pt>
                <c:pt idx="880">
                  <c:v>25.339500000000001</c:v>
                </c:pt>
                <c:pt idx="881">
                  <c:v>25.229500000000002</c:v>
                </c:pt>
                <c:pt idx="882">
                  <c:v>25.119399999999999</c:v>
                </c:pt>
                <c:pt idx="883">
                  <c:v>25.0091</c:v>
                </c:pt>
                <c:pt idx="884">
                  <c:v>24.898800000000001</c:v>
                </c:pt>
                <c:pt idx="885">
                  <c:v>24.788399999999999</c:v>
                </c:pt>
                <c:pt idx="886">
                  <c:v>24.681899999999999</c:v>
                </c:pt>
                <c:pt idx="887">
                  <c:v>24.575399999999998</c:v>
                </c:pt>
                <c:pt idx="888">
                  <c:v>24.468599999999999</c:v>
                </c:pt>
                <c:pt idx="889">
                  <c:v>24.361799999999999</c:v>
                </c:pt>
                <c:pt idx="890">
                  <c:v>24.254899999999999</c:v>
                </c:pt>
                <c:pt idx="891">
                  <c:v>24.1541</c:v>
                </c:pt>
                <c:pt idx="892">
                  <c:v>24.0532</c:v>
                </c:pt>
                <c:pt idx="893">
                  <c:v>23.952200000000001</c:v>
                </c:pt>
                <c:pt idx="894">
                  <c:v>23.851199999999999</c:v>
                </c:pt>
                <c:pt idx="895">
                  <c:v>23.75</c:v>
                </c:pt>
                <c:pt idx="896">
                  <c:v>23.652899999999999</c:v>
                </c:pt>
                <c:pt idx="897">
                  <c:v>23.555700000000002</c:v>
                </c:pt>
                <c:pt idx="898">
                  <c:v>23.458600000000001</c:v>
                </c:pt>
                <c:pt idx="899">
                  <c:v>23.3613</c:v>
                </c:pt>
                <c:pt idx="900">
                  <c:v>23.2639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6-3948-A0BA-FE368CBC7A9E}"/>
            </c:ext>
          </c:extLst>
        </c:ser>
        <c:ser>
          <c:idx val="1"/>
          <c:order val="1"/>
          <c:tx>
            <c:v>Filter FUV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'Filter Materion 280 20160217'!$A$2:$A$1002</c:f>
              <c:numCache>
                <c:formatCode>General</c:formatCode>
                <c:ptCount val="10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  <c:pt idx="901">
                  <c:v>1001</c:v>
                </c:pt>
                <c:pt idx="902">
                  <c:v>1002</c:v>
                </c:pt>
                <c:pt idx="903">
                  <c:v>1003</c:v>
                </c:pt>
                <c:pt idx="904">
                  <c:v>1004</c:v>
                </c:pt>
                <c:pt idx="905">
                  <c:v>1005</c:v>
                </c:pt>
                <c:pt idx="906">
                  <c:v>1006</c:v>
                </c:pt>
                <c:pt idx="907">
                  <c:v>1007</c:v>
                </c:pt>
                <c:pt idx="908">
                  <c:v>1008</c:v>
                </c:pt>
                <c:pt idx="909">
                  <c:v>1009</c:v>
                </c:pt>
                <c:pt idx="910">
                  <c:v>1010</c:v>
                </c:pt>
                <c:pt idx="911">
                  <c:v>1011</c:v>
                </c:pt>
                <c:pt idx="912">
                  <c:v>1012</c:v>
                </c:pt>
                <c:pt idx="913">
                  <c:v>1013</c:v>
                </c:pt>
                <c:pt idx="914">
                  <c:v>1014</c:v>
                </c:pt>
                <c:pt idx="915">
                  <c:v>1015</c:v>
                </c:pt>
                <c:pt idx="916">
                  <c:v>1016</c:v>
                </c:pt>
                <c:pt idx="917">
                  <c:v>1017</c:v>
                </c:pt>
                <c:pt idx="918">
                  <c:v>1018</c:v>
                </c:pt>
                <c:pt idx="919">
                  <c:v>1019</c:v>
                </c:pt>
                <c:pt idx="920">
                  <c:v>1020</c:v>
                </c:pt>
                <c:pt idx="921">
                  <c:v>1021</c:v>
                </c:pt>
                <c:pt idx="922">
                  <c:v>1022</c:v>
                </c:pt>
                <c:pt idx="923">
                  <c:v>1023</c:v>
                </c:pt>
                <c:pt idx="924">
                  <c:v>1024</c:v>
                </c:pt>
                <c:pt idx="925">
                  <c:v>1025</c:v>
                </c:pt>
                <c:pt idx="926">
                  <c:v>1026</c:v>
                </c:pt>
                <c:pt idx="927">
                  <c:v>1027</c:v>
                </c:pt>
                <c:pt idx="928">
                  <c:v>1028</c:v>
                </c:pt>
                <c:pt idx="929">
                  <c:v>1029</c:v>
                </c:pt>
                <c:pt idx="930">
                  <c:v>1030</c:v>
                </c:pt>
                <c:pt idx="931">
                  <c:v>1031</c:v>
                </c:pt>
                <c:pt idx="932">
                  <c:v>1032</c:v>
                </c:pt>
                <c:pt idx="933">
                  <c:v>1033</c:v>
                </c:pt>
                <c:pt idx="934">
                  <c:v>1034</c:v>
                </c:pt>
                <c:pt idx="935">
                  <c:v>1035</c:v>
                </c:pt>
                <c:pt idx="936">
                  <c:v>1036</c:v>
                </c:pt>
                <c:pt idx="937">
                  <c:v>1037</c:v>
                </c:pt>
                <c:pt idx="938">
                  <c:v>1038</c:v>
                </c:pt>
                <c:pt idx="939">
                  <c:v>1039</c:v>
                </c:pt>
                <c:pt idx="940">
                  <c:v>1040</c:v>
                </c:pt>
                <c:pt idx="941">
                  <c:v>1041</c:v>
                </c:pt>
                <c:pt idx="942">
                  <c:v>1042</c:v>
                </c:pt>
                <c:pt idx="943">
                  <c:v>1043</c:v>
                </c:pt>
                <c:pt idx="944">
                  <c:v>1044</c:v>
                </c:pt>
                <c:pt idx="945">
                  <c:v>1045</c:v>
                </c:pt>
                <c:pt idx="946">
                  <c:v>1046</c:v>
                </c:pt>
                <c:pt idx="947">
                  <c:v>1047</c:v>
                </c:pt>
                <c:pt idx="948">
                  <c:v>1048</c:v>
                </c:pt>
                <c:pt idx="949">
                  <c:v>1049</c:v>
                </c:pt>
                <c:pt idx="950">
                  <c:v>1050</c:v>
                </c:pt>
                <c:pt idx="951">
                  <c:v>1051</c:v>
                </c:pt>
                <c:pt idx="952">
                  <c:v>1052</c:v>
                </c:pt>
                <c:pt idx="953">
                  <c:v>1053</c:v>
                </c:pt>
                <c:pt idx="954">
                  <c:v>1054</c:v>
                </c:pt>
                <c:pt idx="955">
                  <c:v>1055</c:v>
                </c:pt>
                <c:pt idx="956">
                  <c:v>1056</c:v>
                </c:pt>
                <c:pt idx="957">
                  <c:v>1057</c:v>
                </c:pt>
                <c:pt idx="958">
                  <c:v>1058</c:v>
                </c:pt>
                <c:pt idx="959">
                  <c:v>1059</c:v>
                </c:pt>
                <c:pt idx="960">
                  <c:v>1060</c:v>
                </c:pt>
                <c:pt idx="961">
                  <c:v>1061</c:v>
                </c:pt>
                <c:pt idx="962">
                  <c:v>1062</c:v>
                </c:pt>
                <c:pt idx="963">
                  <c:v>1063</c:v>
                </c:pt>
                <c:pt idx="964">
                  <c:v>1064</c:v>
                </c:pt>
                <c:pt idx="965">
                  <c:v>1065</c:v>
                </c:pt>
                <c:pt idx="966">
                  <c:v>1066</c:v>
                </c:pt>
                <c:pt idx="967">
                  <c:v>1067</c:v>
                </c:pt>
                <c:pt idx="968">
                  <c:v>1068</c:v>
                </c:pt>
                <c:pt idx="969">
                  <c:v>1069</c:v>
                </c:pt>
                <c:pt idx="970">
                  <c:v>1070</c:v>
                </c:pt>
                <c:pt idx="971">
                  <c:v>1071</c:v>
                </c:pt>
                <c:pt idx="972">
                  <c:v>1072</c:v>
                </c:pt>
                <c:pt idx="973">
                  <c:v>1073</c:v>
                </c:pt>
                <c:pt idx="974">
                  <c:v>1074</c:v>
                </c:pt>
                <c:pt idx="975">
                  <c:v>1075</c:v>
                </c:pt>
                <c:pt idx="976">
                  <c:v>1076</c:v>
                </c:pt>
                <c:pt idx="977">
                  <c:v>1077</c:v>
                </c:pt>
                <c:pt idx="978">
                  <c:v>1078</c:v>
                </c:pt>
                <c:pt idx="979">
                  <c:v>1079</c:v>
                </c:pt>
                <c:pt idx="980">
                  <c:v>1080</c:v>
                </c:pt>
                <c:pt idx="981">
                  <c:v>1081</c:v>
                </c:pt>
                <c:pt idx="982">
                  <c:v>1082</c:v>
                </c:pt>
                <c:pt idx="983">
                  <c:v>1083</c:v>
                </c:pt>
                <c:pt idx="984">
                  <c:v>1084</c:v>
                </c:pt>
                <c:pt idx="985">
                  <c:v>1085</c:v>
                </c:pt>
                <c:pt idx="986">
                  <c:v>1086</c:v>
                </c:pt>
                <c:pt idx="987">
                  <c:v>1087</c:v>
                </c:pt>
                <c:pt idx="988">
                  <c:v>1088</c:v>
                </c:pt>
                <c:pt idx="989">
                  <c:v>1089</c:v>
                </c:pt>
                <c:pt idx="990">
                  <c:v>1090</c:v>
                </c:pt>
                <c:pt idx="991">
                  <c:v>1091</c:v>
                </c:pt>
                <c:pt idx="992">
                  <c:v>1092</c:v>
                </c:pt>
                <c:pt idx="993">
                  <c:v>1093</c:v>
                </c:pt>
                <c:pt idx="994">
                  <c:v>1094</c:v>
                </c:pt>
                <c:pt idx="995">
                  <c:v>1095</c:v>
                </c:pt>
                <c:pt idx="996">
                  <c:v>1096</c:v>
                </c:pt>
                <c:pt idx="997">
                  <c:v>1097</c:v>
                </c:pt>
                <c:pt idx="998">
                  <c:v>1098</c:v>
                </c:pt>
                <c:pt idx="999">
                  <c:v>1099</c:v>
                </c:pt>
                <c:pt idx="1000">
                  <c:v>1100</c:v>
                </c:pt>
              </c:numCache>
            </c:numRef>
          </c:xVal>
          <c:yVal>
            <c:numRef>
              <c:f>'Filter JPL 7-layer Aggressive 2'!$D$4:$D$904</c:f>
              <c:numCache>
                <c:formatCode>General</c:formatCode>
                <c:ptCount val="901"/>
                <c:pt idx="0">
                  <c:v>6.9999999999999999E-4</c:v>
                </c:pt>
                <c:pt idx="1">
                  <c:v>1E-3</c:v>
                </c:pt>
                <c:pt idx="2">
                  <c:v>2.5999999999999999E-3</c:v>
                </c:pt>
                <c:pt idx="3">
                  <c:v>6.1000000000000004E-3</c:v>
                </c:pt>
                <c:pt idx="4">
                  <c:v>1.17E-2</c:v>
                </c:pt>
                <c:pt idx="5">
                  <c:v>2.2200000000000001E-2</c:v>
                </c:pt>
                <c:pt idx="6">
                  <c:v>4.1099999999999998E-2</c:v>
                </c:pt>
                <c:pt idx="7">
                  <c:v>6.6900000000000001E-2</c:v>
                </c:pt>
                <c:pt idx="8">
                  <c:v>8.5400000000000004E-2</c:v>
                </c:pt>
                <c:pt idx="9">
                  <c:v>0.1077</c:v>
                </c:pt>
                <c:pt idx="10">
                  <c:v>0.1341</c:v>
                </c:pt>
                <c:pt idx="11">
                  <c:v>0.1021</c:v>
                </c:pt>
                <c:pt idx="12">
                  <c:v>7.9399999999999998E-2</c:v>
                </c:pt>
                <c:pt idx="13">
                  <c:v>6.4100000000000004E-2</c:v>
                </c:pt>
                <c:pt idx="14">
                  <c:v>5.2999999999999999E-2</c:v>
                </c:pt>
                <c:pt idx="15">
                  <c:v>4.5699999999999998E-2</c:v>
                </c:pt>
                <c:pt idx="16">
                  <c:v>4.1599999999999998E-2</c:v>
                </c:pt>
                <c:pt idx="17">
                  <c:v>4.0300000000000002E-2</c:v>
                </c:pt>
                <c:pt idx="18">
                  <c:v>0.04</c:v>
                </c:pt>
                <c:pt idx="19">
                  <c:v>4.0399999999999998E-2</c:v>
                </c:pt>
                <c:pt idx="20">
                  <c:v>4.1500000000000002E-2</c:v>
                </c:pt>
                <c:pt idx="21">
                  <c:v>4.3299999999999998E-2</c:v>
                </c:pt>
                <c:pt idx="22">
                  <c:v>4.6199999999999998E-2</c:v>
                </c:pt>
                <c:pt idx="23">
                  <c:v>5.0900000000000001E-2</c:v>
                </c:pt>
                <c:pt idx="24">
                  <c:v>5.7599999999999998E-2</c:v>
                </c:pt>
                <c:pt idx="25">
                  <c:v>6.7400000000000002E-2</c:v>
                </c:pt>
                <c:pt idx="26">
                  <c:v>8.09E-2</c:v>
                </c:pt>
                <c:pt idx="27">
                  <c:v>9.9699999999999997E-2</c:v>
                </c:pt>
                <c:pt idx="28">
                  <c:v>0.1268</c:v>
                </c:pt>
                <c:pt idx="29">
                  <c:v>0.16589999999999999</c:v>
                </c:pt>
                <c:pt idx="30">
                  <c:v>0.22409999999999999</c:v>
                </c:pt>
                <c:pt idx="31">
                  <c:v>0.31290000000000001</c:v>
                </c:pt>
                <c:pt idx="32">
                  <c:v>0.45279999999999998</c:v>
                </c:pt>
                <c:pt idx="33">
                  <c:v>0.68049999999999999</c:v>
                </c:pt>
                <c:pt idx="34">
                  <c:v>0.93669999999999998</c:v>
                </c:pt>
                <c:pt idx="35">
                  <c:v>1.0814999999999999</c:v>
                </c:pt>
                <c:pt idx="36">
                  <c:v>1.2551000000000001</c:v>
                </c:pt>
                <c:pt idx="37">
                  <c:v>1.4637</c:v>
                </c:pt>
                <c:pt idx="38">
                  <c:v>1.716</c:v>
                </c:pt>
                <c:pt idx="39">
                  <c:v>2.0246</c:v>
                </c:pt>
                <c:pt idx="40">
                  <c:v>2.3988999999999998</c:v>
                </c:pt>
                <c:pt idx="41">
                  <c:v>2.8546999999999998</c:v>
                </c:pt>
                <c:pt idx="42">
                  <c:v>3.4106000000000001</c:v>
                </c:pt>
                <c:pt idx="43">
                  <c:v>4.0902000000000003</c:v>
                </c:pt>
                <c:pt idx="44">
                  <c:v>4.9688999999999997</c:v>
                </c:pt>
                <c:pt idx="45">
                  <c:v>6.1433</c:v>
                </c:pt>
                <c:pt idx="46">
                  <c:v>7.5922999999999998</c:v>
                </c:pt>
                <c:pt idx="47">
                  <c:v>9.3787000000000003</c:v>
                </c:pt>
                <c:pt idx="48">
                  <c:v>11.528</c:v>
                </c:pt>
                <c:pt idx="49">
                  <c:v>14.051</c:v>
                </c:pt>
                <c:pt idx="50">
                  <c:v>16.915700000000001</c:v>
                </c:pt>
                <c:pt idx="51">
                  <c:v>20.057500000000001</c:v>
                </c:pt>
                <c:pt idx="52">
                  <c:v>23.316500000000001</c:v>
                </c:pt>
                <c:pt idx="53">
                  <c:v>26.507000000000001</c:v>
                </c:pt>
                <c:pt idx="54">
                  <c:v>29.447199999999999</c:v>
                </c:pt>
                <c:pt idx="55">
                  <c:v>32.875999999999998</c:v>
                </c:pt>
                <c:pt idx="56">
                  <c:v>35.709499999999998</c:v>
                </c:pt>
                <c:pt idx="57">
                  <c:v>37.0383</c:v>
                </c:pt>
                <c:pt idx="58">
                  <c:v>37.4298</c:v>
                </c:pt>
                <c:pt idx="59">
                  <c:v>37.185600000000001</c:v>
                </c:pt>
                <c:pt idx="60">
                  <c:v>36.336599999999997</c:v>
                </c:pt>
                <c:pt idx="61">
                  <c:v>34.876100000000001</c:v>
                </c:pt>
                <c:pt idx="62">
                  <c:v>33.486699999999999</c:v>
                </c:pt>
                <c:pt idx="63">
                  <c:v>31.791899999999998</c:v>
                </c:pt>
                <c:pt idx="64">
                  <c:v>29.840399999999999</c:v>
                </c:pt>
                <c:pt idx="65">
                  <c:v>27.697099999999999</c:v>
                </c:pt>
                <c:pt idx="66">
                  <c:v>25.428599999999999</c:v>
                </c:pt>
                <c:pt idx="67">
                  <c:v>23.136199999999999</c:v>
                </c:pt>
                <c:pt idx="68">
                  <c:v>20.890699999999999</c:v>
                </c:pt>
                <c:pt idx="69">
                  <c:v>18.742599999999999</c:v>
                </c:pt>
                <c:pt idx="70">
                  <c:v>16.728999999999999</c:v>
                </c:pt>
                <c:pt idx="71">
                  <c:v>14.871600000000001</c:v>
                </c:pt>
                <c:pt idx="72">
                  <c:v>13.1739</c:v>
                </c:pt>
                <c:pt idx="73">
                  <c:v>11.6325</c:v>
                </c:pt>
                <c:pt idx="74">
                  <c:v>10.2437</c:v>
                </c:pt>
                <c:pt idx="75">
                  <c:v>8.9989000000000008</c:v>
                </c:pt>
                <c:pt idx="76">
                  <c:v>7.9051</c:v>
                </c:pt>
                <c:pt idx="77">
                  <c:v>6.9318999999999997</c:v>
                </c:pt>
                <c:pt idx="78">
                  <c:v>6.0822000000000003</c:v>
                </c:pt>
                <c:pt idx="79">
                  <c:v>5.3318000000000003</c:v>
                </c:pt>
                <c:pt idx="80">
                  <c:v>4.6696999999999997</c:v>
                </c:pt>
                <c:pt idx="81">
                  <c:v>4.08</c:v>
                </c:pt>
                <c:pt idx="82">
                  <c:v>3.5615999999999999</c:v>
                </c:pt>
                <c:pt idx="83">
                  <c:v>3.1073</c:v>
                </c:pt>
                <c:pt idx="84">
                  <c:v>2.7105999999999999</c:v>
                </c:pt>
                <c:pt idx="85">
                  <c:v>2.3656000000000001</c:v>
                </c:pt>
                <c:pt idx="86">
                  <c:v>2.0678000000000001</c:v>
                </c:pt>
                <c:pt idx="87">
                  <c:v>1.8087</c:v>
                </c:pt>
                <c:pt idx="88">
                  <c:v>1.5834999999999999</c:v>
                </c:pt>
                <c:pt idx="89">
                  <c:v>1.3879999999999999</c:v>
                </c:pt>
                <c:pt idx="90">
                  <c:v>1.2181</c:v>
                </c:pt>
                <c:pt idx="91">
                  <c:v>1.0706</c:v>
                </c:pt>
                <c:pt idx="92">
                  <c:v>0.94230000000000003</c:v>
                </c:pt>
                <c:pt idx="93">
                  <c:v>0.83069999999999999</c:v>
                </c:pt>
                <c:pt idx="94">
                  <c:v>0.73370000000000002</c:v>
                </c:pt>
                <c:pt idx="95">
                  <c:v>0.6492</c:v>
                </c:pt>
                <c:pt idx="96">
                  <c:v>0.57489999999999997</c:v>
                </c:pt>
                <c:pt idx="97">
                  <c:v>0.5101</c:v>
                </c:pt>
                <c:pt idx="98">
                  <c:v>0.45350000000000001</c:v>
                </c:pt>
                <c:pt idx="99">
                  <c:v>0.40410000000000001</c:v>
                </c:pt>
                <c:pt idx="100">
                  <c:v>0.36080000000000001</c:v>
                </c:pt>
                <c:pt idx="101">
                  <c:v>0.32650000000000001</c:v>
                </c:pt>
                <c:pt idx="102">
                  <c:v>0.2959</c:v>
                </c:pt>
                <c:pt idx="103">
                  <c:v>0.26860000000000001</c:v>
                </c:pt>
                <c:pt idx="104">
                  <c:v>0.2442</c:v>
                </c:pt>
                <c:pt idx="105">
                  <c:v>0.22239999999999999</c:v>
                </c:pt>
                <c:pt idx="106">
                  <c:v>0.20300000000000001</c:v>
                </c:pt>
                <c:pt idx="107">
                  <c:v>0.1855</c:v>
                </c:pt>
                <c:pt idx="108">
                  <c:v>0.1699</c:v>
                </c:pt>
                <c:pt idx="109">
                  <c:v>0.15559999999999999</c:v>
                </c:pt>
                <c:pt idx="110">
                  <c:v>0.1429</c:v>
                </c:pt>
                <c:pt idx="111">
                  <c:v>0.1313</c:v>
                </c:pt>
                <c:pt idx="112">
                  <c:v>0.1208</c:v>
                </c:pt>
                <c:pt idx="113">
                  <c:v>0.11119999999999999</c:v>
                </c:pt>
                <c:pt idx="114">
                  <c:v>0.1026</c:v>
                </c:pt>
                <c:pt idx="115">
                  <c:v>9.4799999999999995E-2</c:v>
                </c:pt>
                <c:pt idx="116">
                  <c:v>8.7800000000000003E-2</c:v>
                </c:pt>
                <c:pt idx="117">
                  <c:v>8.14E-2</c:v>
                </c:pt>
                <c:pt idx="118">
                  <c:v>7.5399999999999995E-2</c:v>
                </c:pt>
                <c:pt idx="119">
                  <c:v>7.0099999999999996E-2</c:v>
                </c:pt>
                <c:pt idx="120">
                  <c:v>6.5299999999999997E-2</c:v>
                </c:pt>
                <c:pt idx="121">
                  <c:v>6.0900000000000003E-2</c:v>
                </c:pt>
                <c:pt idx="122">
                  <c:v>5.6899999999999999E-2</c:v>
                </c:pt>
                <c:pt idx="123">
                  <c:v>5.33E-2</c:v>
                </c:pt>
                <c:pt idx="124">
                  <c:v>0.05</c:v>
                </c:pt>
                <c:pt idx="125">
                  <c:v>4.7E-2</c:v>
                </c:pt>
                <c:pt idx="126">
                  <c:v>4.4299999999999999E-2</c:v>
                </c:pt>
                <c:pt idx="127">
                  <c:v>4.19E-2</c:v>
                </c:pt>
                <c:pt idx="128">
                  <c:v>3.9800000000000002E-2</c:v>
                </c:pt>
                <c:pt idx="129">
                  <c:v>3.7999999999999999E-2</c:v>
                </c:pt>
                <c:pt idx="130">
                  <c:v>3.6400000000000002E-2</c:v>
                </c:pt>
                <c:pt idx="131">
                  <c:v>3.5000000000000003E-2</c:v>
                </c:pt>
                <c:pt idx="132">
                  <c:v>3.3599999999999998E-2</c:v>
                </c:pt>
                <c:pt idx="133">
                  <c:v>3.2199999999999999E-2</c:v>
                </c:pt>
                <c:pt idx="134">
                  <c:v>3.09E-2</c:v>
                </c:pt>
                <c:pt idx="135">
                  <c:v>2.9600000000000001E-2</c:v>
                </c:pt>
                <c:pt idx="136">
                  <c:v>2.8199999999999999E-2</c:v>
                </c:pt>
                <c:pt idx="137">
                  <c:v>2.69E-2</c:v>
                </c:pt>
                <c:pt idx="138">
                  <c:v>2.5499999999999998E-2</c:v>
                </c:pt>
                <c:pt idx="139">
                  <c:v>2.4199999999999999E-2</c:v>
                </c:pt>
                <c:pt idx="140">
                  <c:v>2.29E-2</c:v>
                </c:pt>
                <c:pt idx="141">
                  <c:v>2.1700000000000001E-2</c:v>
                </c:pt>
                <c:pt idx="142">
                  <c:v>2.0500000000000001E-2</c:v>
                </c:pt>
                <c:pt idx="143">
                  <c:v>1.9400000000000001E-2</c:v>
                </c:pt>
                <c:pt idx="144">
                  <c:v>1.83E-2</c:v>
                </c:pt>
                <c:pt idx="145">
                  <c:v>1.7299999999999999E-2</c:v>
                </c:pt>
                <c:pt idx="146">
                  <c:v>1.6400000000000001E-2</c:v>
                </c:pt>
                <c:pt idx="147">
                  <c:v>1.55E-2</c:v>
                </c:pt>
                <c:pt idx="148">
                  <c:v>1.46E-2</c:v>
                </c:pt>
                <c:pt idx="149">
                  <c:v>1.38E-2</c:v>
                </c:pt>
                <c:pt idx="150">
                  <c:v>1.3100000000000001E-2</c:v>
                </c:pt>
                <c:pt idx="151">
                  <c:v>1.23E-2</c:v>
                </c:pt>
                <c:pt idx="152">
                  <c:v>1.17E-2</c:v>
                </c:pt>
                <c:pt idx="153">
                  <c:v>1.0999999999999999E-2</c:v>
                </c:pt>
                <c:pt idx="154">
                  <c:v>1.0500000000000001E-2</c:v>
                </c:pt>
                <c:pt idx="155">
                  <c:v>9.9000000000000008E-3</c:v>
                </c:pt>
                <c:pt idx="156">
                  <c:v>9.4000000000000004E-3</c:v>
                </c:pt>
                <c:pt idx="157">
                  <c:v>8.8999999999999999E-3</c:v>
                </c:pt>
                <c:pt idx="158">
                  <c:v>8.5000000000000006E-3</c:v>
                </c:pt>
                <c:pt idx="159">
                  <c:v>8.0000000000000002E-3</c:v>
                </c:pt>
                <c:pt idx="160">
                  <c:v>7.6E-3</c:v>
                </c:pt>
                <c:pt idx="161">
                  <c:v>7.3000000000000001E-3</c:v>
                </c:pt>
                <c:pt idx="162">
                  <c:v>6.8999999999999999E-3</c:v>
                </c:pt>
                <c:pt idx="163">
                  <c:v>6.6E-3</c:v>
                </c:pt>
                <c:pt idx="164">
                  <c:v>6.3E-3</c:v>
                </c:pt>
                <c:pt idx="165">
                  <c:v>6.0000000000000001E-3</c:v>
                </c:pt>
                <c:pt idx="166">
                  <c:v>5.7000000000000002E-3</c:v>
                </c:pt>
                <c:pt idx="167">
                  <c:v>5.4000000000000003E-3</c:v>
                </c:pt>
                <c:pt idx="168">
                  <c:v>5.1999999999999998E-3</c:v>
                </c:pt>
                <c:pt idx="169">
                  <c:v>5.0000000000000001E-3</c:v>
                </c:pt>
                <c:pt idx="170">
                  <c:v>4.7999999999999996E-3</c:v>
                </c:pt>
                <c:pt idx="171">
                  <c:v>4.5999999999999999E-3</c:v>
                </c:pt>
                <c:pt idx="172">
                  <c:v>4.4999999999999997E-3</c:v>
                </c:pt>
                <c:pt idx="173">
                  <c:v>4.3E-3</c:v>
                </c:pt>
                <c:pt idx="174">
                  <c:v>4.1999999999999997E-3</c:v>
                </c:pt>
                <c:pt idx="175">
                  <c:v>4.1000000000000003E-3</c:v>
                </c:pt>
                <c:pt idx="176">
                  <c:v>4.0000000000000001E-3</c:v>
                </c:pt>
                <c:pt idx="177">
                  <c:v>3.8999999999999998E-3</c:v>
                </c:pt>
                <c:pt idx="178">
                  <c:v>3.8999999999999998E-3</c:v>
                </c:pt>
                <c:pt idx="179">
                  <c:v>3.8E-3</c:v>
                </c:pt>
                <c:pt idx="180">
                  <c:v>3.7000000000000002E-3</c:v>
                </c:pt>
                <c:pt idx="181">
                  <c:v>3.7000000000000002E-3</c:v>
                </c:pt>
                <c:pt idx="182">
                  <c:v>3.5999999999999999E-3</c:v>
                </c:pt>
                <c:pt idx="183">
                  <c:v>3.5000000000000001E-3</c:v>
                </c:pt>
                <c:pt idx="184">
                  <c:v>3.5000000000000001E-3</c:v>
                </c:pt>
                <c:pt idx="185">
                  <c:v>3.3999999999999998E-3</c:v>
                </c:pt>
                <c:pt idx="186">
                  <c:v>3.3999999999999998E-3</c:v>
                </c:pt>
                <c:pt idx="187">
                  <c:v>3.3999999999999998E-3</c:v>
                </c:pt>
                <c:pt idx="188">
                  <c:v>3.3E-3</c:v>
                </c:pt>
                <c:pt idx="189">
                  <c:v>3.3E-3</c:v>
                </c:pt>
                <c:pt idx="190">
                  <c:v>3.3E-3</c:v>
                </c:pt>
                <c:pt idx="191">
                  <c:v>3.3999999999999998E-3</c:v>
                </c:pt>
                <c:pt idx="192">
                  <c:v>3.3999999999999998E-3</c:v>
                </c:pt>
                <c:pt idx="193">
                  <c:v>3.3999999999999998E-3</c:v>
                </c:pt>
                <c:pt idx="194">
                  <c:v>3.3999999999999998E-3</c:v>
                </c:pt>
                <c:pt idx="195">
                  <c:v>3.3999999999999998E-3</c:v>
                </c:pt>
                <c:pt idx="196">
                  <c:v>3.3999999999999998E-3</c:v>
                </c:pt>
                <c:pt idx="197">
                  <c:v>3.3999999999999998E-3</c:v>
                </c:pt>
                <c:pt idx="198">
                  <c:v>3.3999999999999998E-3</c:v>
                </c:pt>
                <c:pt idx="199">
                  <c:v>3.3999999999999998E-3</c:v>
                </c:pt>
                <c:pt idx="200">
                  <c:v>3.3E-3</c:v>
                </c:pt>
                <c:pt idx="201">
                  <c:v>3.3E-3</c:v>
                </c:pt>
                <c:pt idx="202">
                  <c:v>3.3E-3</c:v>
                </c:pt>
                <c:pt idx="203">
                  <c:v>3.3E-3</c:v>
                </c:pt>
                <c:pt idx="204">
                  <c:v>3.2000000000000002E-3</c:v>
                </c:pt>
                <c:pt idx="205">
                  <c:v>3.2000000000000002E-3</c:v>
                </c:pt>
                <c:pt idx="206">
                  <c:v>3.0999999999999999E-3</c:v>
                </c:pt>
                <c:pt idx="207">
                  <c:v>3.0999999999999999E-3</c:v>
                </c:pt>
                <c:pt idx="208">
                  <c:v>3.0999999999999999E-3</c:v>
                </c:pt>
                <c:pt idx="209">
                  <c:v>3.0000000000000001E-3</c:v>
                </c:pt>
                <c:pt idx="210">
                  <c:v>3.0000000000000001E-3</c:v>
                </c:pt>
                <c:pt idx="211">
                  <c:v>3.0000000000000001E-3</c:v>
                </c:pt>
                <c:pt idx="212">
                  <c:v>2.8999999999999998E-3</c:v>
                </c:pt>
                <c:pt idx="213">
                  <c:v>2.8999999999999998E-3</c:v>
                </c:pt>
                <c:pt idx="214">
                  <c:v>2.8E-3</c:v>
                </c:pt>
                <c:pt idx="215">
                  <c:v>2.8E-3</c:v>
                </c:pt>
                <c:pt idx="216">
                  <c:v>2.8E-3</c:v>
                </c:pt>
                <c:pt idx="217">
                  <c:v>2.7000000000000001E-3</c:v>
                </c:pt>
                <c:pt idx="218">
                  <c:v>2.7000000000000001E-3</c:v>
                </c:pt>
                <c:pt idx="219">
                  <c:v>2.5999999999999999E-3</c:v>
                </c:pt>
                <c:pt idx="220">
                  <c:v>2.5999999999999999E-3</c:v>
                </c:pt>
                <c:pt idx="221">
                  <c:v>2.5999999999999999E-3</c:v>
                </c:pt>
                <c:pt idx="222">
                  <c:v>2.5000000000000001E-3</c:v>
                </c:pt>
                <c:pt idx="223">
                  <c:v>2.5000000000000001E-3</c:v>
                </c:pt>
                <c:pt idx="224">
                  <c:v>2.3999999999999998E-3</c:v>
                </c:pt>
                <c:pt idx="225">
                  <c:v>2.3999999999999998E-3</c:v>
                </c:pt>
                <c:pt idx="226">
                  <c:v>2.3999999999999998E-3</c:v>
                </c:pt>
                <c:pt idx="227">
                  <c:v>2.3E-3</c:v>
                </c:pt>
                <c:pt idx="228">
                  <c:v>2.3E-3</c:v>
                </c:pt>
                <c:pt idx="229">
                  <c:v>2.3E-3</c:v>
                </c:pt>
                <c:pt idx="230">
                  <c:v>2.2000000000000001E-3</c:v>
                </c:pt>
                <c:pt idx="231">
                  <c:v>2.2000000000000001E-3</c:v>
                </c:pt>
                <c:pt idx="232">
                  <c:v>2.2000000000000001E-3</c:v>
                </c:pt>
                <c:pt idx="233">
                  <c:v>2.0999999999999999E-3</c:v>
                </c:pt>
                <c:pt idx="234">
                  <c:v>2.0999999999999999E-3</c:v>
                </c:pt>
                <c:pt idx="235">
                  <c:v>2.0999999999999999E-3</c:v>
                </c:pt>
                <c:pt idx="236">
                  <c:v>2.0999999999999999E-3</c:v>
                </c:pt>
                <c:pt idx="237">
                  <c:v>2E-3</c:v>
                </c:pt>
                <c:pt idx="238">
                  <c:v>2E-3</c:v>
                </c:pt>
                <c:pt idx="239">
                  <c:v>2E-3</c:v>
                </c:pt>
                <c:pt idx="240">
                  <c:v>1.9E-3</c:v>
                </c:pt>
                <c:pt idx="241">
                  <c:v>1.9E-3</c:v>
                </c:pt>
                <c:pt idx="242">
                  <c:v>1.9E-3</c:v>
                </c:pt>
                <c:pt idx="243">
                  <c:v>1.8E-3</c:v>
                </c:pt>
                <c:pt idx="244">
                  <c:v>1.8E-3</c:v>
                </c:pt>
                <c:pt idx="245">
                  <c:v>1.8E-3</c:v>
                </c:pt>
                <c:pt idx="246">
                  <c:v>1.8E-3</c:v>
                </c:pt>
                <c:pt idx="247">
                  <c:v>1.6999999999999999E-3</c:v>
                </c:pt>
                <c:pt idx="248">
                  <c:v>1.6999999999999999E-3</c:v>
                </c:pt>
                <c:pt idx="249">
                  <c:v>1.6999999999999999E-3</c:v>
                </c:pt>
                <c:pt idx="250">
                  <c:v>1.6999999999999999E-3</c:v>
                </c:pt>
                <c:pt idx="251">
                  <c:v>1.6000000000000001E-3</c:v>
                </c:pt>
                <c:pt idx="252">
                  <c:v>1.6000000000000001E-3</c:v>
                </c:pt>
                <c:pt idx="253">
                  <c:v>1.6000000000000001E-3</c:v>
                </c:pt>
                <c:pt idx="254">
                  <c:v>1.6000000000000001E-3</c:v>
                </c:pt>
                <c:pt idx="255">
                  <c:v>1.5E-3</c:v>
                </c:pt>
                <c:pt idx="256">
                  <c:v>1.5E-3</c:v>
                </c:pt>
                <c:pt idx="257">
                  <c:v>1.5E-3</c:v>
                </c:pt>
                <c:pt idx="258">
                  <c:v>1.5E-3</c:v>
                </c:pt>
                <c:pt idx="259">
                  <c:v>1.4E-3</c:v>
                </c:pt>
                <c:pt idx="260">
                  <c:v>1.4E-3</c:v>
                </c:pt>
                <c:pt idx="261">
                  <c:v>1.4E-3</c:v>
                </c:pt>
                <c:pt idx="262">
                  <c:v>1.4E-3</c:v>
                </c:pt>
                <c:pt idx="263">
                  <c:v>1.4E-3</c:v>
                </c:pt>
                <c:pt idx="264">
                  <c:v>1.2999999999999999E-3</c:v>
                </c:pt>
                <c:pt idx="265">
                  <c:v>1.2999999999999999E-3</c:v>
                </c:pt>
                <c:pt idx="266">
                  <c:v>1.2999999999999999E-3</c:v>
                </c:pt>
                <c:pt idx="267">
                  <c:v>1.2999999999999999E-3</c:v>
                </c:pt>
                <c:pt idx="268">
                  <c:v>1.2999999999999999E-3</c:v>
                </c:pt>
                <c:pt idx="269">
                  <c:v>1.2999999999999999E-3</c:v>
                </c:pt>
                <c:pt idx="270">
                  <c:v>1.2999999999999999E-3</c:v>
                </c:pt>
                <c:pt idx="271">
                  <c:v>1.2999999999999999E-3</c:v>
                </c:pt>
                <c:pt idx="272">
                  <c:v>1.2999999999999999E-3</c:v>
                </c:pt>
                <c:pt idx="273">
                  <c:v>1.2999999999999999E-3</c:v>
                </c:pt>
                <c:pt idx="274">
                  <c:v>1.2999999999999999E-3</c:v>
                </c:pt>
                <c:pt idx="275">
                  <c:v>1.2999999999999999E-3</c:v>
                </c:pt>
                <c:pt idx="276">
                  <c:v>1.2999999999999999E-3</c:v>
                </c:pt>
                <c:pt idx="277">
                  <c:v>1.2999999999999999E-3</c:v>
                </c:pt>
                <c:pt idx="278">
                  <c:v>1.2999999999999999E-3</c:v>
                </c:pt>
                <c:pt idx="279">
                  <c:v>1.2999999999999999E-3</c:v>
                </c:pt>
                <c:pt idx="280">
                  <c:v>1.2999999999999999E-3</c:v>
                </c:pt>
                <c:pt idx="281">
                  <c:v>1.2999999999999999E-3</c:v>
                </c:pt>
                <c:pt idx="282">
                  <c:v>1.2999999999999999E-3</c:v>
                </c:pt>
                <c:pt idx="283">
                  <c:v>1.2999999999999999E-3</c:v>
                </c:pt>
                <c:pt idx="284">
                  <c:v>1.2999999999999999E-3</c:v>
                </c:pt>
                <c:pt idx="285">
                  <c:v>1.2999999999999999E-3</c:v>
                </c:pt>
                <c:pt idx="286">
                  <c:v>1.2999999999999999E-3</c:v>
                </c:pt>
                <c:pt idx="287">
                  <c:v>1.2999999999999999E-3</c:v>
                </c:pt>
                <c:pt idx="288">
                  <c:v>1.2999999999999999E-3</c:v>
                </c:pt>
                <c:pt idx="289">
                  <c:v>1.2999999999999999E-3</c:v>
                </c:pt>
                <c:pt idx="290">
                  <c:v>1.2999999999999999E-3</c:v>
                </c:pt>
                <c:pt idx="291">
                  <c:v>1.2999999999999999E-3</c:v>
                </c:pt>
                <c:pt idx="292">
                  <c:v>1.2999999999999999E-3</c:v>
                </c:pt>
                <c:pt idx="293">
                  <c:v>1.2999999999999999E-3</c:v>
                </c:pt>
                <c:pt idx="294">
                  <c:v>1.2999999999999999E-3</c:v>
                </c:pt>
                <c:pt idx="295">
                  <c:v>1.2999999999999999E-3</c:v>
                </c:pt>
                <c:pt idx="296">
                  <c:v>1.2999999999999999E-3</c:v>
                </c:pt>
                <c:pt idx="297">
                  <c:v>1.2999999999999999E-3</c:v>
                </c:pt>
                <c:pt idx="298">
                  <c:v>1.2999999999999999E-3</c:v>
                </c:pt>
                <c:pt idx="299">
                  <c:v>1.2999999999999999E-3</c:v>
                </c:pt>
                <c:pt idx="300">
                  <c:v>1.2999999999999999E-3</c:v>
                </c:pt>
                <c:pt idx="301">
                  <c:v>1.2999999999999999E-3</c:v>
                </c:pt>
                <c:pt idx="302">
                  <c:v>1.2999999999999999E-3</c:v>
                </c:pt>
                <c:pt idx="303">
                  <c:v>1.2999999999999999E-3</c:v>
                </c:pt>
                <c:pt idx="304">
                  <c:v>1.2999999999999999E-3</c:v>
                </c:pt>
                <c:pt idx="305">
                  <c:v>1.2999999999999999E-3</c:v>
                </c:pt>
                <c:pt idx="306">
                  <c:v>1.2999999999999999E-3</c:v>
                </c:pt>
                <c:pt idx="307">
                  <c:v>1.2999999999999999E-3</c:v>
                </c:pt>
                <c:pt idx="308">
                  <c:v>1.2999999999999999E-3</c:v>
                </c:pt>
                <c:pt idx="309">
                  <c:v>1.2999999999999999E-3</c:v>
                </c:pt>
                <c:pt idx="310">
                  <c:v>1.2999999999999999E-3</c:v>
                </c:pt>
                <c:pt idx="311">
                  <c:v>1.2999999999999999E-3</c:v>
                </c:pt>
                <c:pt idx="312">
                  <c:v>1.2999999999999999E-3</c:v>
                </c:pt>
                <c:pt idx="313">
                  <c:v>1.2999999999999999E-3</c:v>
                </c:pt>
                <c:pt idx="314">
                  <c:v>1.2999999999999999E-3</c:v>
                </c:pt>
                <c:pt idx="315">
                  <c:v>1.2999999999999999E-3</c:v>
                </c:pt>
                <c:pt idx="316">
                  <c:v>1.2999999999999999E-3</c:v>
                </c:pt>
                <c:pt idx="317">
                  <c:v>1.2999999999999999E-3</c:v>
                </c:pt>
                <c:pt idx="318">
                  <c:v>1.2999999999999999E-3</c:v>
                </c:pt>
                <c:pt idx="319">
                  <c:v>1.2999999999999999E-3</c:v>
                </c:pt>
                <c:pt idx="320">
                  <c:v>1.1999999999999999E-3</c:v>
                </c:pt>
                <c:pt idx="321">
                  <c:v>1.1999999999999999E-3</c:v>
                </c:pt>
                <c:pt idx="322">
                  <c:v>1.1999999999999999E-3</c:v>
                </c:pt>
                <c:pt idx="323">
                  <c:v>1.1999999999999999E-3</c:v>
                </c:pt>
                <c:pt idx="324">
                  <c:v>1.1999999999999999E-3</c:v>
                </c:pt>
                <c:pt idx="325">
                  <c:v>1.1999999999999999E-3</c:v>
                </c:pt>
                <c:pt idx="326">
                  <c:v>1.1999999999999999E-3</c:v>
                </c:pt>
                <c:pt idx="327">
                  <c:v>1.1999999999999999E-3</c:v>
                </c:pt>
                <c:pt idx="328">
                  <c:v>1.1999999999999999E-3</c:v>
                </c:pt>
                <c:pt idx="329">
                  <c:v>1.1999999999999999E-3</c:v>
                </c:pt>
                <c:pt idx="330">
                  <c:v>1.1999999999999999E-3</c:v>
                </c:pt>
                <c:pt idx="331">
                  <c:v>1.1999999999999999E-3</c:v>
                </c:pt>
                <c:pt idx="332">
                  <c:v>1.1999999999999999E-3</c:v>
                </c:pt>
                <c:pt idx="333">
                  <c:v>1.1999999999999999E-3</c:v>
                </c:pt>
                <c:pt idx="334">
                  <c:v>1.1999999999999999E-3</c:v>
                </c:pt>
                <c:pt idx="335">
                  <c:v>1.1999999999999999E-3</c:v>
                </c:pt>
                <c:pt idx="336">
                  <c:v>1.1999999999999999E-3</c:v>
                </c:pt>
                <c:pt idx="337">
                  <c:v>1.1999999999999999E-3</c:v>
                </c:pt>
                <c:pt idx="338">
                  <c:v>1.1999999999999999E-3</c:v>
                </c:pt>
                <c:pt idx="339">
                  <c:v>1.1999999999999999E-3</c:v>
                </c:pt>
                <c:pt idx="340">
                  <c:v>1.1000000000000001E-3</c:v>
                </c:pt>
                <c:pt idx="341">
                  <c:v>1.1000000000000001E-3</c:v>
                </c:pt>
                <c:pt idx="342">
                  <c:v>1.1000000000000001E-3</c:v>
                </c:pt>
                <c:pt idx="343">
                  <c:v>1.1000000000000001E-3</c:v>
                </c:pt>
                <c:pt idx="344">
                  <c:v>1.1000000000000001E-3</c:v>
                </c:pt>
                <c:pt idx="345">
                  <c:v>1.1000000000000001E-3</c:v>
                </c:pt>
                <c:pt idx="346">
                  <c:v>1.1000000000000001E-3</c:v>
                </c:pt>
                <c:pt idx="347">
                  <c:v>1.1000000000000001E-3</c:v>
                </c:pt>
                <c:pt idx="348">
                  <c:v>1.1000000000000001E-3</c:v>
                </c:pt>
                <c:pt idx="349">
                  <c:v>1.1000000000000001E-3</c:v>
                </c:pt>
                <c:pt idx="350">
                  <c:v>1.1000000000000001E-3</c:v>
                </c:pt>
                <c:pt idx="351">
                  <c:v>1.1000000000000001E-3</c:v>
                </c:pt>
                <c:pt idx="352">
                  <c:v>1.1000000000000001E-3</c:v>
                </c:pt>
                <c:pt idx="353">
                  <c:v>1.1000000000000001E-3</c:v>
                </c:pt>
                <c:pt idx="354">
                  <c:v>1.1000000000000001E-3</c:v>
                </c:pt>
                <c:pt idx="355">
                  <c:v>1.1000000000000001E-3</c:v>
                </c:pt>
                <c:pt idx="356">
                  <c:v>1.1000000000000001E-3</c:v>
                </c:pt>
                <c:pt idx="357">
                  <c:v>1.1000000000000001E-3</c:v>
                </c:pt>
                <c:pt idx="358">
                  <c:v>1.1000000000000001E-3</c:v>
                </c:pt>
                <c:pt idx="359">
                  <c:v>1.1000000000000001E-3</c:v>
                </c:pt>
                <c:pt idx="360">
                  <c:v>1.1000000000000001E-3</c:v>
                </c:pt>
                <c:pt idx="361">
                  <c:v>1.1000000000000001E-3</c:v>
                </c:pt>
                <c:pt idx="362">
                  <c:v>1.1000000000000001E-3</c:v>
                </c:pt>
                <c:pt idx="363">
                  <c:v>1.1000000000000001E-3</c:v>
                </c:pt>
                <c:pt idx="364">
                  <c:v>1.1000000000000001E-3</c:v>
                </c:pt>
                <c:pt idx="365">
                  <c:v>1E-3</c:v>
                </c:pt>
                <c:pt idx="366">
                  <c:v>1E-3</c:v>
                </c:pt>
                <c:pt idx="367">
                  <c:v>1E-3</c:v>
                </c:pt>
                <c:pt idx="368">
                  <c:v>1E-3</c:v>
                </c:pt>
                <c:pt idx="369">
                  <c:v>1E-3</c:v>
                </c:pt>
                <c:pt idx="370">
                  <c:v>1E-3</c:v>
                </c:pt>
                <c:pt idx="371">
                  <c:v>1E-3</c:v>
                </c:pt>
                <c:pt idx="372">
                  <c:v>1E-3</c:v>
                </c:pt>
                <c:pt idx="373">
                  <c:v>1E-3</c:v>
                </c:pt>
                <c:pt idx="374">
                  <c:v>1E-3</c:v>
                </c:pt>
                <c:pt idx="375">
                  <c:v>1E-3</c:v>
                </c:pt>
                <c:pt idx="376">
                  <c:v>1E-3</c:v>
                </c:pt>
                <c:pt idx="377">
                  <c:v>1E-3</c:v>
                </c:pt>
                <c:pt idx="378">
                  <c:v>1E-3</c:v>
                </c:pt>
                <c:pt idx="379">
                  <c:v>1E-3</c:v>
                </c:pt>
                <c:pt idx="380">
                  <c:v>1E-3</c:v>
                </c:pt>
                <c:pt idx="381">
                  <c:v>1E-3</c:v>
                </c:pt>
                <c:pt idx="382">
                  <c:v>1E-3</c:v>
                </c:pt>
                <c:pt idx="383">
                  <c:v>1E-3</c:v>
                </c:pt>
                <c:pt idx="384">
                  <c:v>1E-3</c:v>
                </c:pt>
                <c:pt idx="385">
                  <c:v>1E-3</c:v>
                </c:pt>
                <c:pt idx="386">
                  <c:v>1E-3</c:v>
                </c:pt>
                <c:pt idx="387">
                  <c:v>1E-3</c:v>
                </c:pt>
                <c:pt idx="388">
                  <c:v>1E-3</c:v>
                </c:pt>
                <c:pt idx="389">
                  <c:v>1E-3</c:v>
                </c:pt>
                <c:pt idx="390">
                  <c:v>1E-3</c:v>
                </c:pt>
                <c:pt idx="391">
                  <c:v>1E-3</c:v>
                </c:pt>
                <c:pt idx="392">
                  <c:v>1E-3</c:v>
                </c:pt>
                <c:pt idx="393">
                  <c:v>1E-3</c:v>
                </c:pt>
                <c:pt idx="394">
                  <c:v>1E-3</c:v>
                </c:pt>
                <c:pt idx="395">
                  <c:v>1E-3</c:v>
                </c:pt>
                <c:pt idx="396">
                  <c:v>1E-3</c:v>
                </c:pt>
                <c:pt idx="397">
                  <c:v>1E-3</c:v>
                </c:pt>
                <c:pt idx="398">
                  <c:v>1E-3</c:v>
                </c:pt>
                <c:pt idx="399">
                  <c:v>1E-3</c:v>
                </c:pt>
                <c:pt idx="400">
                  <c:v>8.9999999999999998E-4</c:v>
                </c:pt>
                <c:pt idx="401">
                  <c:v>8.9999999999999998E-4</c:v>
                </c:pt>
                <c:pt idx="402">
                  <c:v>8.9999999999999998E-4</c:v>
                </c:pt>
                <c:pt idx="403">
                  <c:v>8.9999999999999998E-4</c:v>
                </c:pt>
                <c:pt idx="404">
                  <c:v>8.9999999999999998E-4</c:v>
                </c:pt>
                <c:pt idx="405">
                  <c:v>8.9999999999999998E-4</c:v>
                </c:pt>
                <c:pt idx="406">
                  <c:v>8.9999999999999998E-4</c:v>
                </c:pt>
                <c:pt idx="407">
                  <c:v>8.9999999999999998E-4</c:v>
                </c:pt>
                <c:pt idx="408">
                  <c:v>8.9999999999999998E-4</c:v>
                </c:pt>
                <c:pt idx="409">
                  <c:v>8.9999999999999998E-4</c:v>
                </c:pt>
                <c:pt idx="410">
                  <c:v>8.9999999999999998E-4</c:v>
                </c:pt>
                <c:pt idx="411">
                  <c:v>8.9999999999999998E-4</c:v>
                </c:pt>
                <c:pt idx="412">
                  <c:v>8.9999999999999998E-4</c:v>
                </c:pt>
                <c:pt idx="413">
                  <c:v>8.9999999999999998E-4</c:v>
                </c:pt>
                <c:pt idx="414">
                  <c:v>8.9999999999999998E-4</c:v>
                </c:pt>
                <c:pt idx="415">
                  <c:v>8.9999999999999998E-4</c:v>
                </c:pt>
                <c:pt idx="416">
                  <c:v>8.9999999999999998E-4</c:v>
                </c:pt>
                <c:pt idx="417">
                  <c:v>8.9999999999999998E-4</c:v>
                </c:pt>
                <c:pt idx="418">
                  <c:v>8.9999999999999998E-4</c:v>
                </c:pt>
                <c:pt idx="419">
                  <c:v>8.9999999999999998E-4</c:v>
                </c:pt>
                <c:pt idx="420">
                  <c:v>8.9999999999999998E-4</c:v>
                </c:pt>
                <c:pt idx="421">
                  <c:v>8.9999999999999998E-4</c:v>
                </c:pt>
                <c:pt idx="422">
                  <c:v>8.9999999999999998E-4</c:v>
                </c:pt>
                <c:pt idx="423">
                  <c:v>8.9999999999999998E-4</c:v>
                </c:pt>
                <c:pt idx="424">
                  <c:v>8.9999999999999998E-4</c:v>
                </c:pt>
                <c:pt idx="425">
                  <c:v>8.9999999999999998E-4</c:v>
                </c:pt>
                <c:pt idx="426">
                  <c:v>8.9999999999999998E-4</c:v>
                </c:pt>
                <c:pt idx="427">
                  <c:v>8.9999999999999998E-4</c:v>
                </c:pt>
                <c:pt idx="428">
                  <c:v>8.9999999999999998E-4</c:v>
                </c:pt>
                <c:pt idx="429">
                  <c:v>8.9999999999999998E-4</c:v>
                </c:pt>
                <c:pt idx="430">
                  <c:v>8.9999999999999998E-4</c:v>
                </c:pt>
                <c:pt idx="431">
                  <c:v>8.9999999999999998E-4</c:v>
                </c:pt>
                <c:pt idx="432">
                  <c:v>8.9999999999999998E-4</c:v>
                </c:pt>
                <c:pt idx="433">
                  <c:v>8.9999999999999998E-4</c:v>
                </c:pt>
                <c:pt idx="434">
                  <c:v>8.9999999999999998E-4</c:v>
                </c:pt>
                <c:pt idx="435">
                  <c:v>8.9999999999999998E-4</c:v>
                </c:pt>
                <c:pt idx="436">
                  <c:v>8.9999999999999998E-4</c:v>
                </c:pt>
                <c:pt idx="437">
                  <c:v>8.9999999999999998E-4</c:v>
                </c:pt>
                <c:pt idx="438">
                  <c:v>8.9999999999999998E-4</c:v>
                </c:pt>
                <c:pt idx="439">
                  <c:v>8.9999999999999998E-4</c:v>
                </c:pt>
                <c:pt idx="440">
                  <c:v>8.9999999999999998E-4</c:v>
                </c:pt>
                <c:pt idx="441">
                  <c:v>8.9999999999999998E-4</c:v>
                </c:pt>
                <c:pt idx="442">
                  <c:v>8.9999999999999998E-4</c:v>
                </c:pt>
                <c:pt idx="443">
                  <c:v>8.9999999999999998E-4</c:v>
                </c:pt>
                <c:pt idx="444">
                  <c:v>8.9999999999999998E-4</c:v>
                </c:pt>
                <c:pt idx="445">
                  <c:v>8.9999999999999998E-4</c:v>
                </c:pt>
                <c:pt idx="446">
                  <c:v>8.9999999999999998E-4</c:v>
                </c:pt>
                <c:pt idx="447">
                  <c:v>8.9999999999999998E-4</c:v>
                </c:pt>
                <c:pt idx="448">
                  <c:v>8.0000000000000004E-4</c:v>
                </c:pt>
                <c:pt idx="449">
                  <c:v>8.0000000000000004E-4</c:v>
                </c:pt>
                <c:pt idx="450">
                  <c:v>8.0000000000000004E-4</c:v>
                </c:pt>
                <c:pt idx="451">
                  <c:v>8.0000000000000004E-4</c:v>
                </c:pt>
                <c:pt idx="452">
                  <c:v>8.0000000000000004E-4</c:v>
                </c:pt>
                <c:pt idx="453">
                  <c:v>8.0000000000000004E-4</c:v>
                </c:pt>
                <c:pt idx="454">
                  <c:v>8.0000000000000004E-4</c:v>
                </c:pt>
                <c:pt idx="455">
                  <c:v>8.0000000000000004E-4</c:v>
                </c:pt>
                <c:pt idx="456">
                  <c:v>8.0000000000000004E-4</c:v>
                </c:pt>
                <c:pt idx="457">
                  <c:v>8.0000000000000004E-4</c:v>
                </c:pt>
                <c:pt idx="458">
                  <c:v>8.0000000000000004E-4</c:v>
                </c:pt>
                <c:pt idx="459">
                  <c:v>8.0000000000000004E-4</c:v>
                </c:pt>
                <c:pt idx="460">
                  <c:v>8.0000000000000004E-4</c:v>
                </c:pt>
                <c:pt idx="461">
                  <c:v>8.0000000000000004E-4</c:v>
                </c:pt>
                <c:pt idx="462">
                  <c:v>8.0000000000000004E-4</c:v>
                </c:pt>
                <c:pt idx="463">
                  <c:v>8.0000000000000004E-4</c:v>
                </c:pt>
                <c:pt idx="464">
                  <c:v>8.0000000000000004E-4</c:v>
                </c:pt>
                <c:pt idx="465">
                  <c:v>8.0000000000000004E-4</c:v>
                </c:pt>
                <c:pt idx="466">
                  <c:v>8.0000000000000004E-4</c:v>
                </c:pt>
                <c:pt idx="467">
                  <c:v>8.0000000000000004E-4</c:v>
                </c:pt>
                <c:pt idx="468">
                  <c:v>8.0000000000000004E-4</c:v>
                </c:pt>
                <c:pt idx="469">
                  <c:v>8.0000000000000004E-4</c:v>
                </c:pt>
                <c:pt idx="470">
                  <c:v>8.0000000000000004E-4</c:v>
                </c:pt>
                <c:pt idx="471">
                  <c:v>8.0000000000000004E-4</c:v>
                </c:pt>
                <c:pt idx="472">
                  <c:v>8.0000000000000004E-4</c:v>
                </c:pt>
                <c:pt idx="473">
                  <c:v>8.0000000000000004E-4</c:v>
                </c:pt>
                <c:pt idx="474">
                  <c:v>8.0000000000000004E-4</c:v>
                </c:pt>
                <c:pt idx="475">
                  <c:v>8.0000000000000004E-4</c:v>
                </c:pt>
                <c:pt idx="476">
                  <c:v>8.0000000000000004E-4</c:v>
                </c:pt>
                <c:pt idx="477">
                  <c:v>8.0000000000000004E-4</c:v>
                </c:pt>
                <c:pt idx="478">
                  <c:v>8.0000000000000004E-4</c:v>
                </c:pt>
                <c:pt idx="479">
                  <c:v>8.0000000000000004E-4</c:v>
                </c:pt>
                <c:pt idx="480">
                  <c:v>8.0000000000000004E-4</c:v>
                </c:pt>
                <c:pt idx="481">
                  <c:v>8.0000000000000004E-4</c:v>
                </c:pt>
                <c:pt idx="482">
                  <c:v>8.0000000000000004E-4</c:v>
                </c:pt>
                <c:pt idx="483">
                  <c:v>8.0000000000000004E-4</c:v>
                </c:pt>
                <c:pt idx="484">
                  <c:v>8.0000000000000004E-4</c:v>
                </c:pt>
                <c:pt idx="485">
                  <c:v>8.0000000000000004E-4</c:v>
                </c:pt>
                <c:pt idx="486">
                  <c:v>8.0000000000000004E-4</c:v>
                </c:pt>
                <c:pt idx="487">
                  <c:v>8.0000000000000004E-4</c:v>
                </c:pt>
                <c:pt idx="488">
                  <c:v>8.0000000000000004E-4</c:v>
                </c:pt>
                <c:pt idx="489">
                  <c:v>8.0000000000000004E-4</c:v>
                </c:pt>
                <c:pt idx="490">
                  <c:v>8.0000000000000004E-4</c:v>
                </c:pt>
                <c:pt idx="491">
                  <c:v>8.0000000000000004E-4</c:v>
                </c:pt>
                <c:pt idx="492">
                  <c:v>8.0000000000000004E-4</c:v>
                </c:pt>
                <c:pt idx="493">
                  <c:v>8.0000000000000004E-4</c:v>
                </c:pt>
                <c:pt idx="494">
                  <c:v>8.0000000000000004E-4</c:v>
                </c:pt>
                <c:pt idx="495">
                  <c:v>8.0000000000000004E-4</c:v>
                </c:pt>
                <c:pt idx="496">
                  <c:v>8.0000000000000004E-4</c:v>
                </c:pt>
                <c:pt idx="497">
                  <c:v>8.0000000000000004E-4</c:v>
                </c:pt>
                <c:pt idx="498">
                  <c:v>8.0000000000000004E-4</c:v>
                </c:pt>
                <c:pt idx="499">
                  <c:v>8.0000000000000004E-4</c:v>
                </c:pt>
                <c:pt idx="500">
                  <c:v>8.0000000000000004E-4</c:v>
                </c:pt>
                <c:pt idx="501">
                  <c:v>8.0000000000000004E-4</c:v>
                </c:pt>
                <c:pt idx="502">
                  <c:v>8.0000000000000004E-4</c:v>
                </c:pt>
                <c:pt idx="503">
                  <c:v>8.0000000000000004E-4</c:v>
                </c:pt>
                <c:pt idx="504">
                  <c:v>8.0000000000000004E-4</c:v>
                </c:pt>
                <c:pt idx="505">
                  <c:v>8.0000000000000004E-4</c:v>
                </c:pt>
                <c:pt idx="506">
                  <c:v>8.0000000000000004E-4</c:v>
                </c:pt>
                <c:pt idx="507">
                  <c:v>8.0000000000000004E-4</c:v>
                </c:pt>
                <c:pt idx="508">
                  <c:v>8.0000000000000004E-4</c:v>
                </c:pt>
                <c:pt idx="509">
                  <c:v>8.0000000000000004E-4</c:v>
                </c:pt>
                <c:pt idx="510">
                  <c:v>8.0000000000000004E-4</c:v>
                </c:pt>
                <c:pt idx="511">
                  <c:v>8.0000000000000004E-4</c:v>
                </c:pt>
                <c:pt idx="512">
                  <c:v>8.0000000000000004E-4</c:v>
                </c:pt>
                <c:pt idx="513">
                  <c:v>8.0000000000000004E-4</c:v>
                </c:pt>
                <c:pt idx="514">
                  <c:v>8.0000000000000004E-4</c:v>
                </c:pt>
                <c:pt idx="515">
                  <c:v>8.0000000000000004E-4</c:v>
                </c:pt>
                <c:pt idx="516">
                  <c:v>8.0000000000000004E-4</c:v>
                </c:pt>
                <c:pt idx="517">
                  <c:v>8.0000000000000004E-4</c:v>
                </c:pt>
                <c:pt idx="518">
                  <c:v>8.0000000000000004E-4</c:v>
                </c:pt>
                <c:pt idx="519">
                  <c:v>8.0000000000000004E-4</c:v>
                </c:pt>
                <c:pt idx="520">
                  <c:v>8.0000000000000004E-4</c:v>
                </c:pt>
                <c:pt idx="521">
                  <c:v>8.0000000000000004E-4</c:v>
                </c:pt>
                <c:pt idx="522">
                  <c:v>8.0000000000000004E-4</c:v>
                </c:pt>
                <c:pt idx="523">
                  <c:v>8.0000000000000004E-4</c:v>
                </c:pt>
                <c:pt idx="524">
                  <c:v>8.0000000000000004E-4</c:v>
                </c:pt>
                <c:pt idx="525">
                  <c:v>8.0000000000000004E-4</c:v>
                </c:pt>
                <c:pt idx="526">
                  <c:v>8.0000000000000004E-4</c:v>
                </c:pt>
                <c:pt idx="527">
                  <c:v>8.0000000000000004E-4</c:v>
                </c:pt>
                <c:pt idx="528">
                  <c:v>8.0000000000000004E-4</c:v>
                </c:pt>
                <c:pt idx="529">
                  <c:v>8.0000000000000004E-4</c:v>
                </c:pt>
                <c:pt idx="530">
                  <c:v>8.0000000000000004E-4</c:v>
                </c:pt>
                <c:pt idx="531">
                  <c:v>8.0000000000000004E-4</c:v>
                </c:pt>
                <c:pt idx="532">
                  <c:v>8.0000000000000004E-4</c:v>
                </c:pt>
                <c:pt idx="533">
                  <c:v>8.0000000000000004E-4</c:v>
                </c:pt>
                <c:pt idx="534">
                  <c:v>8.0000000000000004E-4</c:v>
                </c:pt>
                <c:pt idx="535">
                  <c:v>8.0000000000000004E-4</c:v>
                </c:pt>
                <c:pt idx="536">
                  <c:v>8.0000000000000004E-4</c:v>
                </c:pt>
                <c:pt idx="537">
                  <c:v>8.0000000000000004E-4</c:v>
                </c:pt>
                <c:pt idx="538">
                  <c:v>8.0000000000000004E-4</c:v>
                </c:pt>
                <c:pt idx="539">
                  <c:v>8.0000000000000004E-4</c:v>
                </c:pt>
                <c:pt idx="540">
                  <c:v>8.0000000000000004E-4</c:v>
                </c:pt>
                <c:pt idx="541">
                  <c:v>8.0000000000000004E-4</c:v>
                </c:pt>
                <c:pt idx="542">
                  <c:v>8.0000000000000004E-4</c:v>
                </c:pt>
                <c:pt idx="543">
                  <c:v>8.0000000000000004E-4</c:v>
                </c:pt>
                <c:pt idx="544">
                  <c:v>8.0000000000000004E-4</c:v>
                </c:pt>
                <c:pt idx="545">
                  <c:v>8.0000000000000004E-4</c:v>
                </c:pt>
                <c:pt idx="546">
                  <c:v>8.0000000000000004E-4</c:v>
                </c:pt>
                <c:pt idx="547">
                  <c:v>8.0000000000000004E-4</c:v>
                </c:pt>
                <c:pt idx="548">
                  <c:v>8.0000000000000004E-4</c:v>
                </c:pt>
                <c:pt idx="549">
                  <c:v>8.0000000000000004E-4</c:v>
                </c:pt>
                <c:pt idx="550">
                  <c:v>8.0000000000000004E-4</c:v>
                </c:pt>
                <c:pt idx="551">
                  <c:v>8.0000000000000004E-4</c:v>
                </c:pt>
                <c:pt idx="552">
                  <c:v>8.0000000000000004E-4</c:v>
                </c:pt>
                <c:pt idx="553">
                  <c:v>8.0000000000000004E-4</c:v>
                </c:pt>
                <c:pt idx="554">
                  <c:v>8.0000000000000004E-4</c:v>
                </c:pt>
                <c:pt idx="555">
                  <c:v>8.0000000000000004E-4</c:v>
                </c:pt>
                <c:pt idx="556">
                  <c:v>8.0000000000000004E-4</c:v>
                </c:pt>
                <c:pt idx="557">
                  <c:v>8.0000000000000004E-4</c:v>
                </c:pt>
                <c:pt idx="558">
                  <c:v>8.0000000000000004E-4</c:v>
                </c:pt>
                <c:pt idx="559">
                  <c:v>8.0000000000000004E-4</c:v>
                </c:pt>
                <c:pt idx="560">
                  <c:v>8.0000000000000004E-4</c:v>
                </c:pt>
                <c:pt idx="561">
                  <c:v>8.0000000000000004E-4</c:v>
                </c:pt>
                <c:pt idx="562">
                  <c:v>8.0000000000000004E-4</c:v>
                </c:pt>
                <c:pt idx="563">
                  <c:v>8.0000000000000004E-4</c:v>
                </c:pt>
                <c:pt idx="564">
                  <c:v>8.0000000000000004E-4</c:v>
                </c:pt>
                <c:pt idx="565">
                  <c:v>8.0000000000000004E-4</c:v>
                </c:pt>
                <c:pt idx="566">
                  <c:v>8.0000000000000004E-4</c:v>
                </c:pt>
                <c:pt idx="567">
                  <c:v>8.0000000000000004E-4</c:v>
                </c:pt>
                <c:pt idx="568">
                  <c:v>8.0000000000000004E-4</c:v>
                </c:pt>
                <c:pt idx="569">
                  <c:v>8.0000000000000004E-4</c:v>
                </c:pt>
                <c:pt idx="570">
                  <c:v>8.0000000000000004E-4</c:v>
                </c:pt>
                <c:pt idx="571">
                  <c:v>8.0000000000000004E-4</c:v>
                </c:pt>
                <c:pt idx="572">
                  <c:v>8.0000000000000004E-4</c:v>
                </c:pt>
                <c:pt idx="573">
                  <c:v>8.0000000000000004E-4</c:v>
                </c:pt>
                <c:pt idx="574">
                  <c:v>8.0000000000000004E-4</c:v>
                </c:pt>
                <c:pt idx="575">
                  <c:v>8.0000000000000004E-4</c:v>
                </c:pt>
                <c:pt idx="576">
                  <c:v>8.0000000000000004E-4</c:v>
                </c:pt>
                <c:pt idx="577">
                  <c:v>8.0000000000000004E-4</c:v>
                </c:pt>
                <c:pt idx="578">
                  <c:v>8.0000000000000004E-4</c:v>
                </c:pt>
                <c:pt idx="579">
                  <c:v>8.0000000000000004E-4</c:v>
                </c:pt>
                <c:pt idx="580">
                  <c:v>8.0000000000000004E-4</c:v>
                </c:pt>
                <c:pt idx="581">
                  <c:v>8.0000000000000004E-4</c:v>
                </c:pt>
                <c:pt idx="582">
                  <c:v>8.0000000000000004E-4</c:v>
                </c:pt>
                <c:pt idx="583">
                  <c:v>8.0000000000000004E-4</c:v>
                </c:pt>
                <c:pt idx="584">
                  <c:v>8.0000000000000004E-4</c:v>
                </c:pt>
                <c:pt idx="585">
                  <c:v>8.0000000000000004E-4</c:v>
                </c:pt>
                <c:pt idx="586">
                  <c:v>8.0000000000000004E-4</c:v>
                </c:pt>
                <c:pt idx="587">
                  <c:v>8.0000000000000004E-4</c:v>
                </c:pt>
                <c:pt idx="588">
                  <c:v>8.0000000000000004E-4</c:v>
                </c:pt>
                <c:pt idx="589">
                  <c:v>8.0000000000000004E-4</c:v>
                </c:pt>
                <c:pt idx="590">
                  <c:v>8.0000000000000004E-4</c:v>
                </c:pt>
                <c:pt idx="591">
                  <c:v>8.0000000000000004E-4</c:v>
                </c:pt>
                <c:pt idx="592">
                  <c:v>8.0000000000000004E-4</c:v>
                </c:pt>
                <c:pt idx="593">
                  <c:v>8.0000000000000004E-4</c:v>
                </c:pt>
                <c:pt idx="594">
                  <c:v>8.0000000000000004E-4</c:v>
                </c:pt>
                <c:pt idx="595">
                  <c:v>8.0000000000000004E-4</c:v>
                </c:pt>
                <c:pt idx="596">
                  <c:v>8.0000000000000004E-4</c:v>
                </c:pt>
                <c:pt idx="597">
                  <c:v>8.0000000000000004E-4</c:v>
                </c:pt>
                <c:pt idx="598">
                  <c:v>8.0000000000000004E-4</c:v>
                </c:pt>
                <c:pt idx="599">
                  <c:v>8.0000000000000004E-4</c:v>
                </c:pt>
                <c:pt idx="600">
                  <c:v>8.0000000000000004E-4</c:v>
                </c:pt>
                <c:pt idx="601">
                  <c:v>8.0000000000000004E-4</c:v>
                </c:pt>
                <c:pt idx="602">
                  <c:v>8.0000000000000004E-4</c:v>
                </c:pt>
                <c:pt idx="603">
                  <c:v>8.0000000000000004E-4</c:v>
                </c:pt>
                <c:pt idx="604">
                  <c:v>8.9999999999999998E-4</c:v>
                </c:pt>
                <c:pt idx="605">
                  <c:v>8.9999999999999998E-4</c:v>
                </c:pt>
                <c:pt idx="606">
                  <c:v>8.9999999999999998E-4</c:v>
                </c:pt>
                <c:pt idx="607">
                  <c:v>8.9999999999999998E-4</c:v>
                </c:pt>
                <c:pt idx="608">
                  <c:v>8.9999999999999998E-4</c:v>
                </c:pt>
                <c:pt idx="609">
                  <c:v>8.9999999999999998E-4</c:v>
                </c:pt>
                <c:pt idx="610">
                  <c:v>8.9999999999999998E-4</c:v>
                </c:pt>
                <c:pt idx="611">
                  <c:v>8.9999999999999998E-4</c:v>
                </c:pt>
                <c:pt idx="612">
                  <c:v>8.9999999999999998E-4</c:v>
                </c:pt>
                <c:pt idx="613">
                  <c:v>8.9999999999999998E-4</c:v>
                </c:pt>
                <c:pt idx="614">
                  <c:v>8.9999999999999998E-4</c:v>
                </c:pt>
                <c:pt idx="615">
                  <c:v>8.9999999999999998E-4</c:v>
                </c:pt>
                <c:pt idx="616">
                  <c:v>8.9999999999999998E-4</c:v>
                </c:pt>
                <c:pt idx="617">
                  <c:v>8.9999999999999998E-4</c:v>
                </c:pt>
                <c:pt idx="618">
                  <c:v>8.9999999999999998E-4</c:v>
                </c:pt>
                <c:pt idx="619">
                  <c:v>8.9999999999999998E-4</c:v>
                </c:pt>
                <c:pt idx="620">
                  <c:v>8.9999999999999998E-4</c:v>
                </c:pt>
                <c:pt idx="621">
                  <c:v>8.9999999999999998E-4</c:v>
                </c:pt>
                <c:pt idx="622">
                  <c:v>8.9999999999999998E-4</c:v>
                </c:pt>
                <c:pt idx="623">
                  <c:v>8.9999999999999998E-4</c:v>
                </c:pt>
                <c:pt idx="624">
                  <c:v>8.9999999999999998E-4</c:v>
                </c:pt>
                <c:pt idx="625">
                  <c:v>8.9999999999999998E-4</c:v>
                </c:pt>
                <c:pt idx="626">
                  <c:v>8.9999999999999998E-4</c:v>
                </c:pt>
                <c:pt idx="627">
                  <c:v>8.9999999999999998E-4</c:v>
                </c:pt>
                <c:pt idx="628">
                  <c:v>8.9999999999999998E-4</c:v>
                </c:pt>
                <c:pt idx="629">
                  <c:v>8.9999999999999998E-4</c:v>
                </c:pt>
                <c:pt idx="630">
                  <c:v>8.9999999999999998E-4</c:v>
                </c:pt>
                <c:pt idx="631">
                  <c:v>8.9999999999999998E-4</c:v>
                </c:pt>
                <c:pt idx="632">
                  <c:v>8.9999999999999998E-4</c:v>
                </c:pt>
                <c:pt idx="633">
                  <c:v>1E-3</c:v>
                </c:pt>
                <c:pt idx="634">
                  <c:v>1E-3</c:v>
                </c:pt>
                <c:pt idx="635">
                  <c:v>1E-3</c:v>
                </c:pt>
                <c:pt idx="636">
                  <c:v>8.9999999999999998E-4</c:v>
                </c:pt>
                <c:pt idx="637">
                  <c:v>8.9999999999999998E-4</c:v>
                </c:pt>
                <c:pt idx="638">
                  <c:v>8.9999999999999998E-4</c:v>
                </c:pt>
                <c:pt idx="639">
                  <c:v>8.9999999999999998E-4</c:v>
                </c:pt>
                <c:pt idx="640">
                  <c:v>8.9999999999999998E-4</c:v>
                </c:pt>
                <c:pt idx="641">
                  <c:v>8.9999999999999998E-4</c:v>
                </c:pt>
                <c:pt idx="642">
                  <c:v>8.9999999999999998E-4</c:v>
                </c:pt>
                <c:pt idx="643">
                  <c:v>8.9999999999999998E-4</c:v>
                </c:pt>
                <c:pt idx="644">
                  <c:v>1E-3</c:v>
                </c:pt>
                <c:pt idx="645">
                  <c:v>1E-3</c:v>
                </c:pt>
                <c:pt idx="646">
                  <c:v>1E-3</c:v>
                </c:pt>
                <c:pt idx="647">
                  <c:v>1E-3</c:v>
                </c:pt>
                <c:pt idx="648">
                  <c:v>1E-3</c:v>
                </c:pt>
                <c:pt idx="649">
                  <c:v>1E-3</c:v>
                </c:pt>
                <c:pt idx="650">
                  <c:v>1E-3</c:v>
                </c:pt>
                <c:pt idx="651">
                  <c:v>1E-3</c:v>
                </c:pt>
                <c:pt idx="652">
                  <c:v>1E-3</c:v>
                </c:pt>
                <c:pt idx="653">
                  <c:v>1E-3</c:v>
                </c:pt>
                <c:pt idx="654">
                  <c:v>1E-3</c:v>
                </c:pt>
                <c:pt idx="655">
                  <c:v>1.1000000000000001E-3</c:v>
                </c:pt>
                <c:pt idx="656">
                  <c:v>1.1000000000000001E-3</c:v>
                </c:pt>
                <c:pt idx="657">
                  <c:v>1.1000000000000001E-3</c:v>
                </c:pt>
                <c:pt idx="658">
                  <c:v>1.1000000000000001E-3</c:v>
                </c:pt>
                <c:pt idx="659">
                  <c:v>1.1000000000000001E-3</c:v>
                </c:pt>
                <c:pt idx="660">
                  <c:v>1.1000000000000001E-3</c:v>
                </c:pt>
                <c:pt idx="661">
                  <c:v>1.1000000000000001E-3</c:v>
                </c:pt>
                <c:pt idx="662">
                  <c:v>1.1000000000000001E-3</c:v>
                </c:pt>
                <c:pt idx="663">
                  <c:v>1.1000000000000001E-3</c:v>
                </c:pt>
                <c:pt idx="664">
                  <c:v>1.1000000000000001E-3</c:v>
                </c:pt>
                <c:pt idx="665">
                  <c:v>1.1000000000000001E-3</c:v>
                </c:pt>
                <c:pt idx="666">
                  <c:v>1.1999999999999999E-3</c:v>
                </c:pt>
                <c:pt idx="667">
                  <c:v>1.1999999999999999E-3</c:v>
                </c:pt>
                <c:pt idx="668">
                  <c:v>1.1999999999999999E-3</c:v>
                </c:pt>
                <c:pt idx="669">
                  <c:v>1.1999999999999999E-3</c:v>
                </c:pt>
                <c:pt idx="670">
                  <c:v>1.1999999999999999E-3</c:v>
                </c:pt>
                <c:pt idx="671">
                  <c:v>1.1999999999999999E-3</c:v>
                </c:pt>
                <c:pt idx="672">
                  <c:v>1.1999999999999999E-3</c:v>
                </c:pt>
                <c:pt idx="673">
                  <c:v>1.1999999999999999E-3</c:v>
                </c:pt>
                <c:pt idx="674">
                  <c:v>1.1999999999999999E-3</c:v>
                </c:pt>
                <c:pt idx="675">
                  <c:v>1.2999999999999999E-3</c:v>
                </c:pt>
                <c:pt idx="676">
                  <c:v>1.2999999999999999E-3</c:v>
                </c:pt>
                <c:pt idx="677">
                  <c:v>1.2999999999999999E-3</c:v>
                </c:pt>
                <c:pt idx="678">
                  <c:v>1.2999999999999999E-3</c:v>
                </c:pt>
                <c:pt idx="679">
                  <c:v>1.2999999999999999E-3</c:v>
                </c:pt>
                <c:pt idx="680">
                  <c:v>1.2999999999999999E-3</c:v>
                </c:pt>
                <c:pt idx="681">
                  <c:v>1.2999999999999999E-3</c:v>
                </c:pt>
                <c:pt idx="682">
                  <c:v>1.2999999999999999E-3</c:v>
                </c:pt>
                <c:pt idx="683">
                  <c:v>1.4E-3</c:v>
                </c:pt>
                <c:pt idx="684">
                  <c:v>1.4E-3</c:v>
                </c:pt>
                <c:pt idx="685">
                  <c:v>1.4E-3</c:v>
                </c:pt>
                <c:pt idx="686">
                  <c:v>1.5E-3</c:v>
                </c:pt>
                <c:pt idx="687">
                  <c:v>1.5E-3</c:v>
                </c:pt>
                <c:pt idx="688">
                  <c:v>1.5E-3</c:v>
                </c:pt>
                <c:pt idx="689">
                  <c:v>1.6000000000000001E-3</c:v>
                </c:pt>
                <c:pt idx="690">
                  <c:v>1.6000000000000001E-3</c:v>
                </c:pt>
                <c:pt idx="691">
                  <c:v>1.6000000000000001E-3</c:v>
                </c:pt>
                <c:pt idx="692">
                  <c:v>1.6999999999999999E-3</c:v>
                </c:pt>
                <c:pt idx="693">
                  <c:v>1.6999999999999999E-3</c:v>
                </c:pt>
                <c:pt idx="694">
                  <c:v>1.6999999999999999E-3</c:v>
                </c:pt>
                <c:pt idx="695">
                  <c:v>1.6999999999999999E-3</c:v>
                </c:pt>
                <c:pt idx="696">
                  <c:v>1.6999999999999999E-3</c:v>
                </c:pt>
                <c:pt idx="697">
                  <c:v>1.6999999999999999E-3</c:v>
                </c:pt>
                <c:pt idx="698">
                  <c:v>1.8E-3</c:v>
                </c:pt>
                <c:pt idx="699">
                  <c:v>1.8E-3</c:v>
                </c:pt>
                <c:pt idx="700">
                  <c:v>1.9E-3</c:v>
                </c:pt>
                <c:pt idx="701">
                  <c:v>1.9E-3</c:v>
                </c:pt>
                <c:pt idx="702">
                  <c:v>1.9E-3</c:v>
                </c:pt>
                <c:pt idx="703">
                  <c:v>1.9E-3</c:v>
                </c:pt>
                <c:pt idx="704">
                  <c:v>2E-3</c:v>
                </c:pt>
                <c:pt idx="705">
                  <c:v>2E-3</c:v>
                </c:pt>
                <c:pt idx="706">
                  <c:v>2.0999999999999999E-3</c:v>
                </c:pt>
                <c:pt idx="707">
                  <c:v>2.0999999999999999E-3</c:v>
                </c:pt>
                <c:pt idx="708">
                  <c:v>2.2000000000000001E-3</c:v>
                </c:pt>
                <c:pt idx="709">
                  <c:v>2.2000000000000001E-3</c:v>
                </c:pt>
                <c:pt idx="710">
                  <c:v>2.3E-3</c:v>
                </c:pt>
                <c:pt idx="711">
                  <c:v>2.2000000000000001E-3</c:v>
                </c:pt>
                <c:pt idx="712">
                  <c:v>2.3E-3</c:v>
                </c:pt>
                <c:pt idx="713">
                  <c:v>2.3E-3</c:v>
                </c:pt>
                <c:pt idx="714">
                  <c:v>2.3999999999999998E-3</c:v>
                </c:pt>
                <c:pt idx="715">
                  <c:v>2.3999999999999998E-3</c:v>
                </c:pt>
                <c:pt idx="716">
                  <c:v>2.5000000000000001E-3</c:v>
                </c:pt>
                <c:pt idx="717">
                  <c:v>2.5000000000000001E-3</c:v>
                </c:pt>
                <c:pt idx="718">
                  <c:v>2.5000000000000001E-3</c:v>
                </c:pt>
                <c:pt idx="719">
                  <c:v>2.5000000000000001E-3</c:v>
                </c:pt>
                <c:pt idx="720">
                  <c:v>2.5999999999999999E-3</c:v>
                </c:pt>
                <c:pt idx="721">
                  <c:v>2.7000000000000001E-3</c:v>
                </c:pt>
                <c:pt idx="722">
                  <c:v>2.5999999999999999E-3</c:v>
                </c:pt>
                <c:pt idx="723">
                  <c:v>2.7000000000000001E-3</c:v>
                </c:pt>
                <c:pt idx="724">
                  <c:v>2.7000000000000001E-3</c:v>
                </c:pt>
                <c:pt idx="725">
                  <c:v>2.8E-3</c:v>
                </c:pt>
                <c:pt idx="726">
                  <c:v>2.7000000000000001E-3</c:v>
                </c:pt>
                <c:pt idx="727">
                  <c:v>2.8E-3</c:v>
                </c:pt>
                <c:pt idx="728">
                  <c:v>2.8E-3</c:v>
                </c:pt>
                <c:pt idx="729">
                  <c:v>2.8999999999999998E-3</c:v>
                </c:pt>
                <c:pt idx="730">
                  <c:v>2.8999999999999998E-3</c:v>
                </c:pt>
                <c:pt idx="731">
                  <c:v>2.8999999999999998E-3</c:v>
                </c:pt>
                <c:pt idx="732">
                  <c:v>3.0000000000000001E-3</c:v>
                </c:pt>
                <c:pt idx="733">
                  <c:v>3.0999999999999999E-3</c:v>
                </c:pt>
                <c:pt idx="734">
                  <c:v>3.0999999999999999E-3</c:v>
                </c:pt>
                <c:pt idx="735">
                  <c:v>3.0999999999999999E-3</c:v>
                </c:pt>
                <c:pt idx="736">
                  <c:v>3.0999999999999999E-3</c:v>
                </c:pt>
                <c:pt idx="737">
                  <c:v>3.2000000000000002E-3</c:v>
                </c:pt>
                <c:pt idx="738">
                  <c:v>3.3E-3</c:v>
                </c:pt>
                <c:pt idx="739">
                  <c:v>3.2000000000000002E-3</c:v>
                </c:pt>
                <c:pt idx="740">
                  <c:v>3.3E-3</c:v>
                </c:pt>
                <c:pt idx="741">
                  <c:v>3.3999999999999998E-3</c:v>
                </c:pt>
                <c:pt idx="742">
                  <c:v>3.3999999999999998E-3</c:v>
                </c:pt>
                <c:pt idx="743">
                  <c:v>3.3999999999999998E-3</c:v>
                </c:pt>
                <c:pt idx="744">
                  <c:v>3.5000000000000001E-3</c:v>
                </c:pt>
                <c:pt idx="745">
                  <c:v>3.5000000000000001E-3</c:v>
                </c:pt>
                <c:pt idx="746">
                  <c:v>3.5999999999999999E-3</c:v>
                </c:pt>
                <c:pt idx="747">
                  <c:v>3.5999999999999999E-3</c:v>
                </c:pt>
                <c:pt idx="748">
                  <c:v>3.7000000000000002E-3</c:v>
                </c:pt>
                <c:pt idx="749">
                  <c:v>3.7000000000000002E-3</c:v>
                </c:pt>
                <c:pt idx="750">
                  <c:v>3.7000000000000002E-3</c:v>
                </c:pt>
                <c:pt idx="751">
                  <c:v>3.8E-3</c:v>
                </c:pt>
                <c:pt idx="752">
                  <c:v>3.8999999999999998E-3</c:v>
                </c:pt>
                <c:pt idx="753">
                  <c:v>3.8999999999999998E-3</c:v>
                </c:pt>
                <c:pt idx="754">
                  <c:v>3.8999999999999998E-3</c:v>
                </c:pt>
                <c:pt idx="755">
                  <c:v>4.0000000000000001E-3</c:v>
                </c:pt>
                <c:pt idx="756">
                  <c:v>4.1000000000000003E-3</c:v>
                </c:pt>
                <c:pt idx="757">
                  <c:v>4.0000000000000001E-3</c:v>
                </c:pt>
                <c:pt idx="758">
                  <c:v>4.1000000000000003E-3</c:v>
                </c:pt>
                <c:pt idx="759">
                  <c:v>4.1999999999999997E-3</c:v>
                </c:pt>
                <c:pt idx="760">
                  <c:v>4.1999999999999997E-3</c:v>
                </c:pt>
                <c:pt idx="761">
                  <c:v>4.3E-3</c:v>
                </c:pt>
                <c:pt idx="762">
                  <c:v>4.3E-3</c:v>
                </c:pt>
                <c:pt idx="763">
                  <c:v>4.3E-3</c:v>
                </c:pt>
                <c:pt idx="764">
                  <c:v>4.4000000000000003E-3</c:v>
                </c:pt>
                <c:pt idx="765">
                  <c:v>4.4000000000000003E-3</c:v>
                </c:pt>
                <c:pt idx="766">
                  <c:v>4.4999999999999997E-3</c:v>
                </c:pt>
                <c:pt idx="767">
                  <c:v>4.4999999999999997E-3</c:v>
                </c:pt>
                <c:pt idx="768">
                  <c:v>4.5999999999999999E-3</c:v>
                </c:pt>
                <c:pt idx="769">
                  <c:v>4.7000000000000002E-3</c:v>
                </c:pt>
                <c:pt idx="770">
                  <c:v>4.7000000000000002E-3</c:v>
                </c:pt>
                <c:pt idx="771">
                  <c:v>4.7999999999999996E-3</c:v>
                </c:pt>
                <c:pt idx="772">
                  <c:v>4.7999999999999996E-3</c:v>
                </c:pt>
                <c:pt idx="773">
                  <c:v>4.8999999999999998E-3</c:v>
                </c:pt>
                <c:pt idx="774">
                  <c:v>4.8999999999999998E-3</c:v>
                </c:pt>
                <c:pt idx="775">
                  <c:v>5.0000000000000001E-3</c:v>
                </c:pt>
                <c:pt idx="776">
                  <c:v>5.0000000000000001E-3</c:v>
                </c:pt>
                <c:pt idx="777">
                  <c:v>5.1000000000000004E-3</c:v>
                </c:pt>
                <c:pt idx="778">
                  <c:v>5.1000000000000004E-3</c:v>
                </c:pt>
                <c:pt idx="779">
                  <c:v>5.1999999999999998E-3</c:v>
                </c:pt>
                <c:pt idx="780">
                  <c:v>5.1999999999999998E-3</c:v>
                </c:pt>
                <c:pt idx="781">
                  <c:v>5.3E-3</c:v>
                </c:pt>
                <c:pt idx="782">
                  <c:v>5.3E-3</c:v>
                </c:pt>
                <c:pt idx="783">
                  <c:v>5.4000000000000003E-3</c:v>
                </c:pt>
                <c:pt idx="784">
                  <c:v>5.4000000000000003E-3</c:v>
                </c:pt>
                <c:pt idx="785">
                  <c:v>5.4000000000000003E-3</c:v>
                </c:pt>
                <c:pt idx="786">
                  <c:v>5.4999999999999997E-3</c:v>
                </c:pt>
                <c:pt idx="787">
                  <c:v>5.4999999999999997E-3</c:v>
                </c:pt>
                <c:pt idx="788">
                  <c:v>5.4999999999999997E-3</c:v>
                </c:pt>
                <c:pt idx="789">
                  <c:v>5.4999999999999997E-3</c:v>
                </c:pt>
                <c:pt idx="790">
                  <c:v>5.4999999999999997E-3</c:v>
                </c:pt>
                <c:pt idx="791">
                  <c:v>5.4000000000000003E-3</c:v>
                </c:pt>
                <c:pt idx="792">
                  <c:v>5.4999999999999997E-3</c:v>
                </c:pt>
                <c:pt idx="793">
                  <c:v>5.4999999999999997E-3</c:v>
                </c:pt>
                <c:pt idx="794">
                  <c:v>5.4000000000000003E-3</c:v>
                </c:pt>
                <c:pt idx="795">
                  <c:v>5.4999999999999997E-3</c:v>
                </c:pt>
                <c:pt idx="796">
                  <c:v>5.4999999999999997E-3</c:v>
                </c:pt>
                <c:pt idx="797">
                  <c:v>5.4000000000000003E-3</c:v>
                </c:pt>
                <c:pt idx="798">
                  <c:v>5.4000000000000003E-3</c:v>
                </c:pt>
                <c:pt idx="799">
                  <c:v>5.4999999999999997E-3</c:v>
                </c:pt>
                <c:pt idx="800">
                  <c:v>5.4000000000000003E-3</c:v>
                </c:pt>
                <c:pt idx="801">
                  <c:v>5.4000000000000003E-3</c:v>
                </c:pt>
                <c:pt idx="802">
                  <c:v>5.3E-3</c:v>
                </c:pt>
                <c:pt idx="803">
                  <c:v>5.4000000000000003E-3</c:v>
                </c:pt>
                <c:pt idx="804">
                  <c:v>5.4000000000000003E-3</c:v>
                </c:pt>
                <c:pt idx="805">
                  <c:v>5.3E-3</c:v>
                </c:pt>
                <c:pt idx="806">
                  <c:v>5.3E-3</c:v>
                </c:pt>
                <c:pt idx="807">
                  <c:v>5.4000000000000003E-3</c:v>
                </c:pt>
                <c:pt idx="808">
                  <c:v>5.3E-3</c:v>
                </c:pt>
                <c:pt idx="809">
                  <c:v>5.3E-3</c:v>
                </c:pt>
                <c:pt idx="810">
                  <c:v>5.3E-3</c:v>
                </c:pt>
                <c:pt idx="811">
                  <c:v>5.3E-3</c:v>
                </c:pt>
                <c:pt idx="812">
                  <c:v>5.3E-3</c:v>
                </c:pt>
                <c:pt idx="813">
                  <c:v>5.1999999999999998E-3</c:v>
                </c:pt>
                <c:pt idx="814">
                  <c:v>5.1999999999999998E-3</c:v>
                </c:pt>
                <c:pt idx="815">
                  <c:v>5.1999999999999998E-3</c:v>
                </c:pt>
                <c:pt idx="816">
                  <c:v>5.1999999999999998E-3</c:v>
                </c:pt>
                <c:pt idx="817">
                  <c:v>5.1000000000000004E-3</c:v>
                </c:pt>
                <c:pt idx="818">
                  <c:v>5.0000000000000001E-3</c:v>
                </c:pt>
                <c:pt idx="819">
                  <c:v>5.0000000000000001E-3</c:v>
                </c:pt>
                <c:pt idx="820">
                  <c:v>5.0000000000000001E-3</c:v>
                </c:pt>
                <c:pt idx="821">
                  <c:v>4.8999999999999998E-3</c:v>
                </c:pt>
                <c:pt idx="822">
                  <c:v>4.8999999999999998E-3</c:v>
                </c:pt>
                <c:pt idx="823">
                  <c:v>4.8999999999999998E-3</c:v>
                </c:pt>
                <c:pt idx="824">
                  <c:v>4.8999999999999998E-3</c:v>
                </c:pt>
                <c:pt idx="825">
                  <c:v>4.7999999999999996E-3</c:v>
                </c:pt>
                <c:pt idx="826">
                  <c:v>4.7999999999999996E-3</c:v>
                </c:pt>
                <c:pt idx="827">
                  <c:v>4.7999999999999996E-3</c:v>
                </c:pt>
                <c:pt idx="828">
                  <c:v>4.7999999999999996E-3</c:v>
                </c:pt>
                <c:pt idx="829">
                  <c:v>4.5999999999999999E-3</c:v>
                </c:pt>
                <c:pt idx="830">
                  <c:v>4.5999999999999999E-3</c:v>
                </c:pt>
                <c:pt idx="831">
                  <c:v>4.5999999999999999E-3</c:v>
                </c:pt>
                <c:pt idx="832">
                  <c:v>4.4999999999999997E-3</c:v>
                </c:pt>
                <c:pt idx="833">
                  <c:v>4.4999999999999997E-3</c:v>
                </c:pt>
                <c:pt idx="834">
                  <c:v>4.4999999999999997E-3</c:v>
                </c:pt>
                <c:pt idx="835">
                  <c:v>4.4999999999999997E-3</c:v>
                </c:pt>
                <c:pt idx="836">
                  <c:v>4.4000000000000003E-3</c:v>
                </c:pt>
                <c:pt idx="837">
                  <c:v>4.4000000000000003E-3</c:v>
                </c:pt>
                <c:pt idx="838">
                  <c:v>4.4000000000000003E-3</c:v>
                </c:pt>
                <c:pt idx="839">
                  <c:v>4.1999999999999997E-3</c:v>
                </c:pt>
                <c:pt idx="840">
                  <c:v>4.1999999999999997E-3</c:v>
                </c:pt>
                <c:pt idx="841">
                  <c:v>4.1000000000000003E-3</c:v>
                </c:pt>
                <c:pt idx="842">
                  <c:v>4.1000000000000003E-3</c:v>
                </c:pt>
                <c:pt idx="843">
                  <c:v>4.0000000000000001E-3</c:v>
                </c:pt>
                <c:pt idx="844">
                  <c:v>3.8999999999999998E-3</c:v>
                </c:pt>
                <c:pt idx="845">
                  <c:v>4.0000000000000001E-3</c:v>
                </c:pt>
                <c:pt idx="846">
                  <c:v>3.8999999999999998E-3</c:v>
                </c:pt>
                <c:pt idx="847">
                  <c:v>3.8E-3</c:v>
                </c:pt>
                <c:pt idx="848">
                  <c:v>3.8E-3</c:v>
                </c:pt>
                <c:pt idx="849">
                  <c:v>3.7000000000000002E-3</c:v>
                </c:pt>
                <c:pt idx="850">
                  <c:v>3.5999999999999999E-3</c:v>
                </c:pt>
                <c:pt idx="851">
                  <c:v>3.5999999999999999E-3</c:v>
                </c:pt>
                <c:pt idx="852">
                  <c:v>3.5000000000000001E-3</c:v>
                </c:pt>
                <c:pt idx="853">
                  <c:v>3.3999999999999998E-3</c:v>
                </c:pt>
                <c:pt idx="854">
                  <c:v>3.3999999999999998E-3</c:v>
                </c:pt>
                <c:pt idx="855">
                  <c:v>3.3E-3</c:v>
                </c:pt>
                <c:pt idx="856">
                  <c:v>3.2000000000000002E-3</c:v>
                </c:pt>
                <c:pt idx="857">
                  <c:v>3.2000000000000002E-3</c:v>
                </c:pt>
                <c:pt idx="858">
                  <c:v>3.0999999999999999E-3</c:v>
                </c:pt>
                <c:pt idx="859">
                  <c:v>3.0999999999999999E-3</c:v>
                </c:pt>
                <c:pt idx="860">
                  <c:v>3.0000000000000001E-3</c:v>
                </c:pt>
                <c:pt idx="861">
                  <c:v>3.0000000000000001E-3</c:v>
                </c:pt>
                <c:pt idx="862">
                  <c:v>2.8999999999999998E-3</c:v>
                </c:pt>
                <c:pt idx="863">
                  <c:v>2.8E-3</c:v>
                </c:pt>
                <c:pt idx="864">
                  <c:v>2.8E-3</c:v>
                </c:pt>
                <c:pt idx="865">
                  <c:v>2.7000000000000001E-3</c:v>
                </c:pt>
                <c:pt idx="866">
                  <c:v>2.7000000000000001E-3</c:v>
                </c:pt>
                <c:pt idx="867">
                  <c:v>2.5999999999999999E-3</c:v>
                </c:pt>
                <c:pt idx="868">
                  <c:v>2.5999999999999999E-3</c:v>
                </c:pt>
                <c:pt idx="869">
                  <c:v>2.5000000000000001E-3</c:v>
                </c:pt>
                <c:pt idx="870">
                  <c:v>2.5000000000000001E-3</c:v>
                </c:pt>
                <c:pt idx="871">
                  <c:v>2.3E-3</c:v>
                </c:pt>
                <c:pt idx="872">
                  <c:v>2.3E-3</c:v>
                </c:pt>
                <c:pt idx="873">
                  <c:v>2.2000000000000001E-3</c:v>
                </c:pt>
                <c:pt idx="874">
                  <c:v>2.2000000000000001E-3</c:v>
                </c:pt>
                <c:pt idx="875">
                  <c:v>2.2000000000000001E-3</c:v>
                </c:pt>
                <c:pt idx="876">
                  <c:v>2.0999999999999999E-3</c:v>
                </c:pt>
                <c:pt idx="877">
                  <c:v>2.0999999999999999E-3</c:v>
                </c:pt>
                <c:pt idx="878">
                  <c:v>2.0999999999999999E-3</c:v>
                </c:pt>
                <c:pt idx="879">
                  <c:v>2E-3</c:v>
                </c:pt>
                <c:pt idx="880">
                  <c:v>2E-3</c:v>
                </c:pt>
                <c:pt idx="881">
                  <c:v>1.8E-3</c:v>
                </c:pt>
                <c:pt idx="882">
                  <c:v>1.8E-3</c:v>
                </c:pt>
                <c:pt idx="883">
                  <c:v>1.8E-3</c:v>
                </c:pt>
                <c:pt idx="884">
                  <c:v>1.6999999999999999E-3</c:v>
                </c:pt>
                <c:pt idx="885">
                  <c:v>1.6999999999999999E-3</c:v>
                </c:pt>
                <c:pt idx="886">
                  <c:v>1.6999999999999999E-3</c:v>
                </c:pt>
                <c:pt idx="887">
                  <c:v>1.6000000000000001E-3</c:v>
                </c:pt>
                <c:pt idx="888">
                  <c:v>1.6000000000000001E-3</c:v>
                </c:pt>
                <c:pt idx="889">
                  <c:v>1.5E-3</c:v>
                </c:pt>
                <c:pt idx="890">
                  <c:v>1.4E-3</c:v>
                </c:pt>
                <c:pt idx="891">
                  <c:v>1.4E-3</c:v>
                </c:pt>
                <c:pt idx="892">
                  <c:v>1.2999999999999999E-3</c:v>
                </c:pt>
                <c:pt idx="893">
                  <c:v>1.2999999999999999E-3</c:v>
                </c:pt>
                <c:pt idx="894">
                  <c:v>1.2999999999999999E-3</c:v>
                </c:pt>
                <c:pt idx="895">
                  <c:v>1.1999999999999999E-3</c:v>
                </c:pt>
                <c:pt idx="896">
                  <c:v>1.1999999999999999E-3</c:v>
                </c:pt>
                <c:pt idx="897">
                  <c:v>1.1999999999999999E-3</c:v>
                </c:pt>
                <c:pt idx="898">
                  <c:v>1E-3</c:v>
                </c:pt>
                <c:pt idx="899">
                  <c:v>1E-3</c:v>
                </c:pt>
                <c:pt idx="900">
                  <c:v>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C6-3948-A0BA-FE368CBC7A9E}"/>
            </c:ext>
          </c:extLst>
        </c:ser>
        <c:ser>
          <c:idx val="2"/>
          <c:order val="2"/>
          <c:tx>
            <c:v>Filter NUV</c:v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'Filter Materion 280 20160217'!$A$2:$A$1002</c:f>
              <c:numCache>
                <c:formatCode>General</c:formatCode>
                <c:ptCount val="10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  <c:pt idx="901">
                  <c:v>1001</c:v>
                </c:pt>
                <c:pt idx="902">
                  <c:v>1002</c:v>
                </c:pt>
                <c:pt idx="903">
                  <c:v>1003</c:v>
                </c:pt>
                <c:pt idx="904">
                  <c:v>1004</c:v>
                </c:pt>
                <c:pt idx="905">
                  <c:v>1005</c:v>
                </c:pt>
                <c:pt idx="906">
                  <c:v>1006</c:v>
                </c:pt>
                <c:pt idx="907">
                  <c:v>1007</c:v>
                </c:pt>
                <c:pt idx="908">
                  <c:v>1008</c:v>
                </c:pt>
                <c:pt idx="909">
                  <c:v>1009</c:v>
                </c:pt>
                <c:pt idx="910">
                  <c:v>1010</c:v>
                </c:pt>
                <c:pt idx="911">
                  <c:v>1011</c:v>
                </c:pt>
                <c:pt idx="912">
                  <c:v>1012</c:v>
                </c:pt>
                <c:pt idx="913">
                  <c:v>1013</c:v>
                </c:pt>
                <c:pt idx="914">
                  <c:v>1014</c:v>
                </c:pt>
                <c:pt idx="915">
                  <c:v>1015</c:v>
                </c:pt>
                <c:pt idx="916">
                  <c:v>1016</c:v>
                </c:pt>
                <c:pt idx="917">
                  <c:v>1017</c:v>
                </c:pt>
                <c:pt idx="918">
                  <c:v>1018</c:v>
                </c:pt>
                <c:pt idx="919">
                  <c:v>1019</c:v>
                </c:pt>
                <c:pt idx="920">
                  <c:v>1020</c:v>
                </c:pt>
                <c:pt idx="921">
                  <c:v>1021</c:v>
                </c:pt>
                <c:pt idx="922">
                  <c:v>1022</c:v>
                </c:pt>
                <c:pt idx="923">
                  <c:v>1023</c:v>
                </c:pt>
                <c:pt idx="924">
                  <c:v>1024</c:v>
                </c:pt>
                <c:pt idx="925">
                  <c:v>1025</c:v>
                </c:pt>
                <c:pt idx="926">
                  <c:v>1026</c:v>
                </c:pt>
                <c:pt idx="927">
                  <c:v>1027</c:v>
                </c:pt>
                <c:pt idx="928">
                  <c:v>1028</c:v>
                </c:pt>
                <c:pt idx="929">
                  <c:v>1029</c:v>
                </c:pt>
                <c:pt idx="930">
                  <c:v>1030</c:v>
                </c:pt>
                <c:pt idx="931">
                  <c:v>1031</c:v>
                </c:pt>
                <c:pt idx="932">
                  <c:v>1032</c:v>
                </c:pt>
                <c:pt idx="933">
                  <c:v>1033</c:v>
                </c:pt>
                <c:pt idx="934">
                  <c:v>1034</c:v>
                </c:pt>
                <c:pt idx="935">
                  <c:v>1035</c:v>
                </c:pt>
                <c:pt idx="936">
                  <c:v>1036</c:v>
                </c:pt>
                <c:pt idx="937">
                  <c:v>1037</c:v>
                </c:pt>
                <c:pt idx="938">
                  <c:v>1038</c:v>
                </c:pt>
                <c:pt idx="939">
                  <c:v>1039</c:v>
                </c:pt>
                <c:pt idx="940">
                  <c:v>1040</c:v>
                </c:pt>
                <c:pt idx="941">
                  <c:v>1041</c:v>
                </c:pt>
                <c:pt idx="942">
                  <c:v>1042</c:v>
                </c:pt>
                <c:pt idx="943">
                  <c:v>1043</c:v>
                </c:pt>
                <c:pt idx="944">
                  <c:v>1044</c:v>
                </c:pt>
                <c:pt idx="945">
                  <c:v>1045</c:v>
                </c:pt>
                <c:pt idx="946">
                  <c:v>1046</c:v>
                </c:pt>
                <c:pt idx="947">
                  <c:v>1047</c:v>
                </c:pt>
                <c:pt idx="948">
                  <c:v>1048</c:v>
                </c:pt>
                <c:pt idx="949">
                  <c:v>1049</c:v>
                </c:pt>
                <c:pt idx="950">
                  <c:v>1050</c:v>
                </c:pt>
                <c:pt idx="951">
                  <c:v>1051</c:v>
                </c:pt>
                <c:pt idx="952">
                  <c:v>1052</c:v>
                </c:pt>
                <c:pt idx="953">
                  <c:v>1053</c:v>
                </c:pt>
                <c:pt idx="954">
                  <c:v>1054</c:v>
                </c:pt>
                <c:pt idx="955">
                  <c:v>1055</c:v>
                </c:pt>
                <c:pt idx="956">
                  <c:v>1056</c:v>
                </c:pt>
                <c:pt idx="957">
                  <c:v>1057</c:v>
                </c:pt>
                <c:pt idx="958">
                  <c:v>1058</c:v>
                </c:pt>
                <c:pt idx="959">
                  <c:v>1059</c:v>
                </c:pt>
                <c:pt idx="960">
                  <c:v>1060</c:v>
                </c:pt>
                <c:pt idx="961">
                  <c:v>1061</c:v>
                </c:pt>
                <c:pt idx="962">
                  <c:v>1062</c:v>
                </c:pt>
                <c:pt idx="963">
                  <c:v>1063</c:v>
                </c:pt>
                <c:pt idx="964">
                  <c:v>1064</c:v>
                </c:pt>
                <c:pt idx="965">
                  <c:v>1065</c:v>
                </c:pt>
                <c:pt idx="966">
                  <c:v>1066</c:v>
                </c:pt>
                <c:pt idx="967">
                  <c:v>1067</c:v>
                </c:pt>
                <c:pt idx="968">
                  <c:v>1068</c:v>
                </c:pt>
                <c:pt idx="969">
                  <c:v>1069</c:v>
                </c:pt>
                <c:pt idx="970">
                  <c:v>1070</c:v>
                </c:pt>
                <c:pt idx="971">
                  <c:v>1071</c:v>
                </c:pt>
                <c:pt idx="972">
                  <c:v>1072</c:v>
                </c:pt>
                <c:pt idx="973">
                  <c:v>1073</c:v>
                </c:pt>
                <c:pt idx="974">
                  <c:v>1074</c:v>
                </c:pt>
                <c:pt idx="975">
                  <c:v>1075</c:v>
                </c:pt>
                <c:pt idx="976">
                  <c:v>1076</c:v>
                </c:pt>
                <c:pt idx="977">
                  <c:v>1077</c:v>
                </c:pt>
                <c:pt idx="978">
                  <c:v>1078</c:v>
                </c:pt>
                <c:pt idx="979">
                  <c:v>1079</c:v>
                </c:pt>
                <c:pt idx="980">
                  <c:v>1080</c:v>
                </c:pt>
                <c:pt idx="981">
                  <c:v>1081</c:v>
                </c:pt>
                <c:pt idx="982">
                  <c:v>1082</c:v>
                </c:pt>
                <c:pt idx="983">
                  <c:v>1083</c:v>
                </c:pt>
                <c:pt idx="984">
                  <c:v>1084</c:v>
                </c:pt>
                <c:pt idx="985">
                  <c:v>1085</c:v>
                </c:pt>
                <c:pt idx="986">
                  <c:v>1086</c:v>
                </c:pt>
                <c:pt idx="987">
                  <c:v>1087</c:v>
                </c:pt>
                <c:pt idx="988">
                  <c:v>1088</c:v>
                </c:pt>
                <c:pt idx="989">
                  <c:v>1089</c:v>
                </c:pt>
                <c:pt idx="990">
                  <c:v>1090</c:v>
                </c:pt>
                <c:pt idx="991">
                  <c:v>1091</c:v>
                </c:pt>
                <c:pt idx="992">
                  <c:v>1092</c:v>
                </c:pt>
                <c:pt idx="993">
                  <c:v>1093</c:v>
                </c:pt>
                <c:pt idx="994">
                  <c:v>1094</c:v>
                </c:pt>
                <c:pt idx="995">
                  <c:v>1095</c:v>
                </c:pt>
                <c:pt idx="996">
                  <c:v>1096</c:v>
                </c:pt>
                <c:pt idx="997">
                  <c:v>1097</c:v>
                </c:pt>
                <c:pt idx="998">
                  <c:v>1098</c:v>
                </c:pt>
                <c:pt idx="999">
                  <c:v>1099</c:v>
                </c:pt>
                <c:pt idx="1000">
                  <c:v>1100</c:v>
                </c:pt>
              </c:numCache>
            </c:numRef>
          </c:xVal>
          <c:yVal>
            <c:numRef>
              <c:f>'Filter Materion 280 20160217'!$B$2:$B$1002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3.0000000000000001E-5</c:v>
                </c:pt>
                <c:pt idx="101">
                  <c:v>4.0000000000000003E-5</c:v>
                </c:pt>
                <c:pt idx="102">
                  <c:v>6.9999999999999994E-5</c:v>
                </c:pt>
                <c:pt idx="103">
                  <c:v>1.1E-4</c:v>
                </c:pt>
                <c:pt idx="104">
                  <c:v>1.7000000000000001E-4</c:v>
                </c:pt>
                <c:pt idx="105">
                  <c:v>2.5999999999999998E-4</c:v>
                </c:pt>
                <c:pt idx="106">
                  <c:v>4.0999999999999999E-4</c:v>
                </c:pt>
                <c:pt idx="107">
                  <c:v>6.4000000000000005E-4</c:v>
                </c:pt>
                <c:pt idx="108">
                  <c:v>1E-3</c:v>
                </c:pt>
                <c:pt idx="109">
                  <c:v>1.5399999999999999E-3</c:v>
                </c:pt>
                <c:pt idx="110">
                  <c:v>2.3700000000000001E-3</c:v>
                </c:pt>
                <c:pt idx="111">
                  <c:v>3.5699999999999998E-3</c:v>
                </c:pt>
                <c:pt idx="112">
                  <c:v>5.28E-3</c:v>
                </c:pt>
                <c:pt idx="113">
                  <c:v>7.5599999999999999E-3</c:v>
                </c:pt>
                <c:pt idx="114">
                  <c:v>1.0370000000000001E-2</c:v>
                </c:pt>
                <c:pt idx="115">
                  <c:v>1.056E-2</c:v>
                </c:pt>
                <c:pt idx="116">
                  <c:v>1.0800000000000001E-2</c:v>
                </c:pt>
                <c:pt idx="117">
                  <c:v>1.111E-2</c:v>
                </c:pt>
                <c:pt idx="118">
                  <c:v>1.149E-2</c:v>
                </c:pt>
                <c:pt idx="119">
                  <c:v>1.196E-2</c:v>
                </c:pt>
                <c:pt idx="120">
                  <c:v>1.2529999999999999E-2</c:v>
                </c:pt>
                <c:pt idx="121">
                  <c:v>1.3220000000000001E-2</c:v>
                </c:pt>
                <c:pt idx="122">
                  <c:v>1.404E-2</c:v>
                </c:pt>
                <c:pt idx="123">
                  <c:v>1.503E-2</c:v>
                </c:pt>
                <c:pt idx="124">
                  <c:v>1.6199999999999999E-2</c:v>
                </c:pt>
                <c:pt idx="125">
                  <c:v>1.7600000000000001E-2</c:v>
                </c:pt>
                <c:pt idx="126">
                  <c:v>1.9259999999999999E-2</c:v>
                </c:pt>
                <c:pt idx="127">
                  <c:v>2.1219999999999999E-2</c:v>
                </c:pt>
                <c:pt idx="128">
                  <c:v>2.3050000000000001E-2</c:v>
                </c:pt>
                <c:pt idx="129">
                  <c:v>2.5229999999999999E-2</c:v>
                </c:pt>
                <c:pt idx="130">
                  <c:v>2.7830000000000001E-2</c:v>
                </c:pt>
                <c:pt idx="131">
                  <c:v>3.0929999999999999E-2</c:v>
                </c:pt>
                <c:pt idx="132">
                  <c:v>3.4639999999999997E-2</c:v>
                </c:pt>
                <c:pt idx="133">
                  <c:v>3.9100000000000003E-2</c:v>
                </c:pt>
                <c:pt idx="134">
                  <c:v>4.4470000000000003E-2</c:v>
                </c:pt>
                <c:pt idx="135">
                  <c:v>5.0979999999999998E-2</c:v>
                </c:pt>
                <c:pt idx="136">
                  <c:v>5.892E-2</c:v>
                </c:pt>
                <c:pt idx="137">
                  <c:v>6.8790000000000004E-2</c:v>
                </c:pt>
                <c:pt idx="138">
                  <c:v>8.1019999999999995E-2</c:v>
                </c:pt>
                <c:pt idx="139">
                  <c:v>9.6229999999999996E-2</c:v>
                </c:pt>
                <c:pt idx="140">
                  <c:v>0.11526</c:v>
                </c:pt>
                <c:pt idx="141">
                  <c:v>0.13927999999999999</c:v>
                </c:pt>
                <c:pt idx="142">
                  <c:v>0.16914000000000001</c:v>
                </c:pt>
                <c:pt idx="143">
                  <c:v>0.20724999999999999</c:v>
                </c:pt>
                <c:pt idx="144">
                  <c:v>0.25635000000000002</c:v>
                </c:pt>
                <c:pt idx="145">
                  <c:v>0.32018000000000002</c:v>
                </c:pt>
                <c:pt idx="146">
                  <c:v>0.40403</c:v>
                </c:pt>
                <c:pt idx="147">
                  <c:v>0.51534000000000002</c:v>
                </c:pt>
                <c:pt idx="148">
                  <c:v>0.66476000000000002</c:v>
                </c:pt>
                <c:pt idx="149">
                  <c:v>0.86738000000000004</c:v>
                </c:pt>
                <c:pt idx="150">
                  <c:v>1.1459600000000001</c:v>
                </c:pt>
                <c:pt idx="151">
                  <c:v>1.53379</c:v>
                </c:pt>
                <c:pt idx="152">
                  <c:v>2.08039</c:v>
                </c:pt>
                <c:pt idx="153">
                  <c:v>2.8595700000000002</c:v>
                </c:pt>
                <c:pt idx="154">
                  <c:v>3.9805299999999999</c:v>
                </c:pt>
                <c:pt idx="155">
                  <c:v>5.6007300000000004</c:v>
                </c:pt>
                <c:pt idx="156">
                  <c:v>7.9139299999999997</c:v>
                </c:pt>
                <c:pt idx="157">
                  <c:v>11.18502</c:v>
                </c:pt>
                <c:pt idx="158">
                  <c:v>15.63161</c:v>
                </c:pt>
                <c:pt idx="159">
                  <c:v>21.24654</c:v>
                </c:pt>
                <c:pt idx="160">
                  <c:v>27.540030000000002</c:v>
                </c:pt>
                <c:pt idx="161">
                  <c:v>33.490549999999999</c:v>
                </c:pt>
                <c:pt idx="162">
                  <c:v>37.99353</c:v>
                </c:pt>
                <c:pt idx="163">
                  <c:v>40.584980000000002</c:v>
                </c:pt>
                <c:pt idx="164">
                  <c:v>41.546190000000003</c:v>
                </c:pt>
                <c:pt idx="165">
                  <c:v>41.506180000000001</c:v>
                </c:pt>
                <c:pt idx="166">
                  <c:v>41.035319999999999</c:v>
                </c:pt>
                <c:pt idx="167">
                  <c:v>40.5</c:v>
                </c:pt>
                <c:pt idx="168">
                  <c:v>40.084960000000002</c:v>
                </c:pt>
                <c:pt idx="169">
                  <c:v>39.827120000000001</c:v>
                </c:pt>
                <c:pt idx="170">
                  <c:v>39.748860000000001</c:v>
                </c:pt>
                <c:pt idx="171">
                  <c:v>39.821640000000002</c:v>
                </c:pt>
                <c:pt idx="172">
                  <c:v>39.998989999999999</c:v>
                </c:pt>
                <c:pt idx="173">
                  <c:v>40.227420000000002</c:v>
                </c:pt>
                <c:pt idx="174">
                  <c:v>40.453380000000003</c:v>
                </c:pt>
                <c:pt idx="175">
                  <c:v>40.628430000000002</c:v>
                </c:pt>
                <c:pt idx="176">
                  <c:v>40.709159999999997</c:v>
                </c:pt>
                <c:pt idx="177">
                  <c:v>40.667070000000002</c:v>
                </c:pt>
                <c:pt idx="178">
                  <c:v>40.490299999999998</c:v>
                </c:pt>
                <c:pt idx="179">
                  <c:v>40.174990000000001</c:v>
                </c:pt>
                <c:pt idx="180">
                  <c:v>39.727130000000002</c:v>
                </c:pt>
                <c:pt idx="181">
                  <c:v>39.15981</c:v>
                </c:pt>
                <c:pt idx="182">
                  <c:v>38.490250000000003</c:v>
                </c:pt>
                <c:pt idx="183">
                  <c:v>37.753909999999998</c:v>
                </c:pt>
                <c:pt idx="184">
                  <c:v>36.952739999999999</c:v>
                </c:pt>
                <c:pt idx="185">
                  <c:v>36.1023</c:v>
                </c:pt>
                <c:pt idx="186">
                  <c:v>35.215760000000003</c:v>
                </c:pt>
                <c:pt idx="187">
                  <c:v>34.303550000000001</c:v>
                </c:pt>
                <c:pt idx="188">
                  <c:v>33.373570000000001</c:v>
                </c:pt>
                <c:pt idx="189">
                  <c:v>32.43141</c:v>
                </c:pt>
                <c:pt idx="190">
                  <c:v>31.48086</c:v>
                </c:pt>
                <c:pt idx="191">
                  <c:v>30.524280000000001</c:v>
                </c:pt>
                <c:pt idx="192">
                  <c:v>29.565670000000001</c:v>
                </c:pt>
                <c:pt idx="193">
                  <c:v>28.60989</c:v>
                </c:pt>
                <c:pt idx="194">
                  <c:v>27.651589999999999</c:v>
                </c:pt>
                <c:pt idx="195">
                  <c:v>26.691079999999999</c:v>
                </c:pt>
                <c:pt idx="196">
                  <c:v>25.728629999999999</c:v>
                </c:pt>
                <c:pt idx="197">
                  <c:v>24.7605</c:v>
                </c:pt>
                <c:pt idx="198">
                  <c:v>23.792190000000002</c:v>
                </c:pt>
                <c:pt idx="199">
                  <c:v>22.824369999999998</c:v>
                </c:pt>
                <c:pt idx="200">
                  <c:v>21.85793</c:v>
                </c:pt>
                <c:pt idx="201">
                  <c:v>20.903289999999998</c:v>
                </c:pt>
                <c:pt idx="202">
                  <c:v>19.951540000000001</c:v>
                </c:pt>
                <c:pt idx="203">
                  <c:v>19.004000000000001</c:v>
                </c:pt>
                <c:pt idx="204">
                  <c:v>18.062059999999999</c:v>
                </c:pt>
                <c:pt idx="205">
                  <c:v>17.127220000000001</c:v>
                </c:pt>
                <c:pt idx="206">
                  <c:v>16.201000000000001</c:v>
                </c:pt>
                <c:pt idx="207">
                  <c:v>15.284929999999999</c:v>
                </c:pt>
                <c:pt idx="208">
                  <c:v>14.380520000000001</c:v>
                </c:pt>
                <c:pt idx="209">
                  <c:v>13.489269999999999</c:v>
                </c:pt>
                <c:pt idx="210">
                  <c:v>12.61834</c:v>
                </c:pt>
                <c:pt idx="211">
                  <c:v>11.75515</c:v>
                </c:pt>
                <c:pt idx="212">
                  <c:v>10.911110000000001</c:v>
                </c:pt>
                <c:pt idx="213">
                  <c:v>10.08794</c:v>
                </c:pt>
                <c:pt idx="214">
                  <c:v>9.2875399999999999</c:v>
                </c:pt>
                <c:pt idx="215">
                  <c:v>8.5120900000000006</c:v>
                </c:pt>
                <c:pt idx="216">
                  <c:v>7.7640399999999996</c:v>
                </c:pt>
                <c:pt idx="217">
                  <c:v>7.0460799999999999</c:v>
                </c:pt>
                <c:pt idx="218">
                  <c:v>6.3605900000000002</c:v>
                </c:pt>
                <c:pt idx="219">
                  <c:v>5.7066299999999996</c:v>
                </c:pt>
                <c:pt idx="220">
                  <c:v>5.0910299999999999</c:v>
                </c:pt>
                <c:pt idx="221">
                  <c:v>4.51633</c:v>
                </c:pt>
                <c:pt idx="222">
                  <c:v>3.9845299999999999</c:v>
                </c:pt>
                <c:pt idx="223">
                  <c:v>3.4968900000000001</c:v>
                </c:pt>
                <c:pt idx="224">
                  <c:v>3.0556899999999998</c:v>
                </c:pt>
                <c:pt idx="225">
                  <c:v>2.6582300000000001</c:v>
                </c:pt>
                <c:pt idx="226">
                  <c:v>2.3032599999999999</c:v>
                </c:pt>
                <c:pt idx="227">
                  <c:v>1.9922500000000001</c:v>
                </c:pt>
                <c:pt idx="228">
                  <c:v>1.7198599999999999</c:v>
                </c:pt>
                <c:pt idx="229">
                  <c:v>1.48156</c:v>
                </c:pt>
                <c:pt idx="230">
                  <c:v>1.2742199999999999</c:v>
                </c:pt>
                <c:pt idx="231">
                  <c:v>1.0946800000000001</c:v>
                </c:pt>
                <c:pt idx="232">
                  <c:v>0.93983000000000005</c:v>
                </c:pt>
                <c:pt idx="233">
                  <c:v>0.80669999999999997</c:v>
                </c:pt>
                <c:pt idx="234">
                  <c:v>0.69252999999999998</c:v>
                </c:pt>
                <c:pt idx="235">
                  <c:v>0.59482000000000002</c:v>
                </c:pt>
                <c:pt idx="236">
                  <c:v>0.51307000000000003</c:v>
                </c:pt>
                <c:pt idx="237">
                  <c:v>0.44320999999999999</c:v>
                </c:pt>
                <c:pt idx="238">
                  <c:v>0.38340000000000002</c:v>
                </c:pt>
                <c:pt idx="239">
                  <c:v>0.33215</c:v>
                </c:pt>
                <c:pt idx="240">
                  <c:v>0.28822999999999999</c:v>
                </c:pt>
                <c:pt idx="241">
                  <c:v>0.25053999999999998</c:v>
                </c:pt>
                <c:pt idx="242">
                  <c:v>0.21818000000000001</c:v>
                </c:pt>
                <c:pt idx="243">
                  <c:v>0.19036</c:v>
                </c:pt>
                <c:pt idx="244">
                  <c:v>0.16642000000000001</c:v>
                </c:pt>
                <c:pt idx="245">
                  <c:v>0.14546000000000001</c:v>
                </c:pt>
                <c:pt idx="246">
                  <c:v>0.12722</c:v>
                </c:pt>
                <c:pt idx="247">
                  <c:v>0.11149000000000001</c:v>
                </c:pt>
                <c:pt idx="248">
                  <c:v>9.7909999999999997E-2</c:v>
                </c:pt>
                <c:pt idx="249">
                  <c:v>8.616E-2</c:v>
                </c:pt>
                <c:pt idx="250">
                  <c:v>7.5980000000000006E-2</c:v>
                </c:pt>
                <c:pt idx="251">
                  <c:v>6.6360000000000002E-2</c:v>
                </c:pt>
                <c:pt idx="252">
                  <c:v>5.8110000000000002E-2</c:v>
                </c:pt>
                <c:pt idx="253">
                  <c:v>5.0999999999999997E-2</c:v>
                </c:pt>
                <c:pt idx="254">
                  <c:v>4.4859999999999997E-2</c:v>
                </c:pt>
                <c:pt idx="255">
                  <c:v>3.9910000000000001E-2</c:v>
                </c:pt>
                <c:pt idx="256">
                  <c:v>3.5659999999999997E-2</c:v>
                </c:pt>
                <c:pt idx="257">
                  <c:v>3.193E-2</c:v>
                </c:pt>
                <c:pt idx="258">
                  <c:v>2.8639999999999999E-2</c:v>
                </c:pt>
                <c:pt idx="259">
                  <c:v>2.5739999999999999E-2</c:v>
                </c:pt>
                <c:pt idx="260">
                  <c:v>2.317E-2</c:v>
                </c:pt>
                <c:pt idx="261">
                  <c:v>2.0899999999999998E-2</c:v>
                </c:pt>
                <c:pt idx="262">
                  <c:v>1.8880000000000001E-2</c:v>
                </c:pt>
                <c:pt idx="263">
                  <c:v>1.7090000000000001E-2</c:v>
                </c:pt>
                <c:pt idx="264">
                  <c:v>1.549E-2</c:v>
                </c:pt>
                <c:pt idx="265">
                  <c:v>1.4080000000000001E-2</c:v>
                </c:pt>
                <c:pt idx="266">
                  <c:v>1.2840000000000001E-2</c:v>
                </c:pt>
                <c:pt idx="267">
                  <c:v>1.1730000000000001E-2</c:v>
                </c:pt>
                <c:pt idx="268">
                  <c:v>1.073E-2</c:v>
                </c:pt>
                <c:pt idx="269">
                  <c:v>9.8300000000000002E-3</c:v>
                </c:pt>
                <c:pt idx="270">
                  <c:v>9.0200000000000002E-3</c:v>
                </c:pt>
                <c:pt idx="271">
                  <c:v>8.2900000000000005E-3</c:v>
                </c:pt>
                <c:pt idx="272">
                  <c:v>7.6299999999999996E-3</c:v>
                </c:pt>
                <c:pt idx="273">
                  <c:v>7.0299999999999998E-3</c:v>
                </c:pt>
                <c:pt idx="274">
                  <c:v>6.4900000000000001E-3</c:v>
                </c:pt>
                <c:pt idx="275">
                  <c:v>5.9899999999999997E-3</c:v>
                </c:pt>
                <c:pt idx="276">
                  <c:v>5.5399999999999998E-3</c:v>
                </c:pt>
                <c:pt idx="277">
                  <c:v>5.1000000000000004E-3</c:v>
                </c:pt>
                <c:pt idx="278">
                  <c:v>4.7099999999999998E-3</c:v>
                </c:pt>
                <c:pt idx="279">
                  <c:v>4.3600000000000002E-3</c:v>
                </c:pt>
                <c:pt idx="280">
                  <c:v>4.0299999999999997E-3</c:v>
                </c:pt>
                <c:pt idx="281">
                  <c:v>3.7399999999999998E-3</c:v>
                </c:pt>
                <c:pt idx="282">
                  <c:v>3.47E-3</c:v>
                </c:pt>
                <c:pt idx="283">
                  <c:v>3.2200000000000002E-3</c:v>
                </c:pt>
                <c:pt idx="284">
                  <c:v>2.99E-3</c:v>
                </c:pt>
                <c:pt idx="285">
                  <c:v>2.7899999999999999E-3</c:v>
                </c:pt>
                <c:pt idx="286">
                  <c:v>2.5999999999999999E-3</c:v>
                </c:pt>
                <c:pt idx="287">
                  <c:v>2.4199999999999998E-3</c:v>
                </c:pt>
                <c:pt idx="288">
                  <c:v>2.2699999999999999E-3</c:v>
                </c:pt>
                <c:pt idx="289">
                  <c:v>2.1299999999999999E-3</c:v>
                </c:pt>
                <c:pt idx="290">
                  <c:v>2E-3</c:v>
                </c:pt>
                <c:pt idx="291">
                  <c:v>1.8799999999999999E-3</c:v>
                </c:pt>
                <c:pt idx="292">
                  <c:v>1.7600000000000001E-3</c:v>
                </c:pt>
                <c:pt idx="293">
                  <c:v>1.66E-3</c:v>
                </c:pt>
                <c:pt idx="294">
                  <c:v>1.57E-3</c:v>
                </c:pt>
                <c:pt idx="295">
                  <c:v>1.48E-3</c:v>
                </c:pt>
                <c:pt idx="296">
                  <c:v>1.39E-3</c:v>
                </c:pt>
                <c:pt idx="297">
                  <c:v>1.32E-3</c:v>
                </c:pt>
                <c:pt idx="298">
                  <c:v>1.24E-3</c:v>
                </c:pt>
                <c:pt idx="299">
                  <c:v>1.1800000000000001E-3</c:v>
                </c:pt>
                <c:pt idx="300">
                  <c:v>1.1199999999999999E-3</c:v>
                </c:pt>
                <c:pt idx="301">
                  <c:v>1.06E-3</c:v>
                </c:pt>
                <c:pt idx="302">
                  <c:v>1E-3</c:v>
                </c:pt>
                <c:pt idx="303">
                  <c:v>9.5E-4</c:v>
                </c:pt>
                <c:pt idx="304">
                  <c:v>9.1E-4</c:v>
                </c:pt>
                <c:pt idx="305">
                  <c:v>8.5999999999999998E-4</c:v>
                </c:pt>
                <c:pt idx="306">
                  <c:v>8.1999999999999998E-4</c:v>
                </c:pt>
                <c:pt idx="307">
                  <c:v>7.7999999999999999E-4</c:v>
                </c:pt>
                <c:pt idx="308">
                  <c:v>7.3999999999999999E-4</c:v>
                </c:pt>
                <c:pt idx="309">
                  <c:v>7.1000000000000002E-4</c:v>
                </c:pt>
                <c:pt idx="310">
                  <c:v>6.8000000000000005E-4</c:v>
                </c:pt>
                <c:pt idx="311">
                  <c:v>6.4999999999999997E-4</c:v>
                </c:pt>
                <c:pt idx="312">
                  <c:v>6.2E-4</c:v>
                </c:pt>
                <c:pt idx="313">
                  <c:v>5.9000000000000003E-4</c:v>
                </c:pt>
                <c:pt idx="314">
                  <c:v>5.5999999999999995E-4</c:v>
                </c:pt>
                <c:pt idx="315">
                  <c:v>5.4000000000000001E-4</c:v>
                </c:pt>
                <c:pt idx="316">
                  <c:v>5.1000000000000004E-4</c:v>
                </c:pt>
                <c:pt idx="317">
                  <c:v>4.8999999999999998E-4</c:v>
                </c:pt>
                <c:pt idx="318">
                  <c:v>4.6999999999999999E-4</c:v>
                </c:pt>
                <c:pt idx="319">
                  <c:v>4.4999999999999999E-4</c:v>
                </c:pt>
                <c:pt idx="320">
                  <c:v>4.2999999999999999E-4</c:v>
                </c:pt>
                <c:pt idx="321">
                  <c:v>4.0999999999999999E-4</c:v>
                </c:pt>
                <c:pt idx="322">
                  <c:v>4.0000000000000002E-4</c:v>
                </c:pt>
                <c:pt idx="323">
                  <c:v>3.8000000000000002E-4</c:v>
                </c:pt>
                <c:pt idx="324">
                  <c:v>3.6000000000000002E-4</c:v>
                </c:pt>
                <c:pt idx="325">
                  <c:v>3.5E-4</c:v>
                </c:pt>
                <c:pt idx="326">
                  <c:v>3.4000000000000002E-4</c:v>
                </c:pt>
                <c:pt idx="327">
                  <c:v>3.2000000000000003E-4</c:v>
                </c:pt>
                <c:pt idx="328">
                  <c:v>3.1E-4</c:v>
                </c:pt>
                <c:pt idx="329">
                  <c:v>2.9999999999999997E-4</c:v>
                </c:pt>
                <c:pt idx="330">
                  <c:v>2.9E-4</c:v>
                </c:pt>
                <c:pt idx="331">
                  <c:v>2.7999999999999998E-4</c:v>
                </c:pt>
                <c:pt idx="332">
                  <c:v>2.7E-4</c:v>
                </c:pt>
                <c:pt idx="333">
                  <c:v>2.5999999999999998E-4</c:v>
                </c:pt>
                <c:pt idx="334">
                  <c:v>2.5000000000000001E-4</c:v>
                </c:pt>
                <c:pt idx="335">
                  <c:v>2.5000000000000001E-4</c:v>
                </c:pt>
                <c:pt idx="336">
                  <c:v>2.4000000000000001E-4</c:v>
                </c:pt>
                <c:pt idx="337">
                  <c:v>2.3000000000000001E-4</c:v>
                </c:pt>
                <c:pt idx="338">
                  <c:v>2.2000000000000001E-4</c:v>
                </c:pt>
                <c:pt idx="339">
                  <c:v>2.2000000000000001E-4</c:v>
                </c:pt>
                <c:pt idx="340">
                  <c:v>2.1000000000000001E-4</c:v>
                </c:pt>
                <c:pt idx="341">
                  <c:v>2.0000000000000001E-4</c:v>
                </c:pt>
                <c:pt idx="342">
                  <c:v>2.0000000000000001E-4</c:v>
                </c:pt>
                <c:pt idx="343">
                  <c:v>1.9000000000000001E-4</c:v>
                </c:pt>
                <c:pt idx="344">
                  <c:v>1.9000000000000001E-4</c:v>
                </c:pt>
                <c:pt idx="345">
                  <c:v>1.8000000000000001E-4</c:v>
                </c:pt>
                <c:pt idx="346">
                  <c:v>1.8000000000000001E-4</c:v>
                </c:pt>
                <c:pt idx="347">
                  <c:v>1.7000000000000001E-4</c:v>
                </c:pt>
                <c:pt idx="348">
                  <c:v>1.6000000000000001E-4</c:v>
                </c:pt>
                <c:pt idx="349">
                  <c:v>1.6000000000000001E-4</c:v>
                </c:pt>
                <c:pt idx="350">
                  <c:v>1.6000000000000001E-4</c:v>
                </c:pt>
                <c:pt idx="351">
                  <c:v>1.4999999999999999E-4</c:v>
                </c:pt>
                <c:pt idx="352">
                  <c:v>1.4999999999999999E-4</c:v>
                </c:pt>
                <c:pt idx="353">
                  <c:v>1.3999999999999999E-4</c:v>
                </c:pt>
                <c:pt idx="354">
                  <c:v>1.3999999999999999E-4</c:v>
                </c:pt>
                <c:pt idx="355">
                  <c:v>1.3999999999999999E-4</c:v>
                </c:pt>
                <c:pt idx="356">
                  <c:v>1.2999999999999999E-4</c:v>
                </c:pt>
                <c:pt idx="357">
                  <c:v>1.2999999999999999E-4</c:v>
                </c:pt>
                <c:pt idx="358">
                  <c:v>1.2999999999999999E-4</c:v>
                </c:pt>
                <c:pt idx="359">
                  <c:v>1.2E-4</c:v>
                </c:pt>
                <c:pt idx="360">
                  <c:v>1.2E-4</c:v>
                </c:pt>
                <c:pt idx="361">
                  <c:v>1.2E-4</c:v>
                </c:pt>
                <c:pt idx="362">
                  <c:v>1.1E-4</c:v>
                </c:pt>
                <c:pt idx="363">
                  <c:v>1.1E-4</c:v>
                </c:pt>
                <c:pt idx="364">
                  <c:v>1.1E-4</c:v>
                </c:pt>
                <c:pt idx="365">
                  <c:v>1.1E-4</c:v>
                </c:pt>
                <c:pt idx="366">
                  <c:v>1E-4</c:v>
                </c:pt>
                <c:pt idx="367">
                  <c:v>1E-4</c:v>
                </c:pt>
                <c:pt idx="368">
                  <c:v>1E-4</c:v>
                </c:pt>
                <c:pt idx="369">
                  <c:v>1E-4</c:v>
                </c:pt>
                <c:pt idx="370">
                  <c:v>9.0000000000000006E-5</c:v>
                </c:pt>
                <c:pt idx="371">
                  <c:v>9.0000000000000006E-5</c:v>
                </c:pt>
                <c:pt idx="372">
                  <c:v>9.0000000000000006E-5</c:v>
                </c:pt>
                <c:pt idx="373">
                  <c:v>9.0000000000000006E-5</c:v>
                </c:pt>
                <c:pt idx="374">
                  <c:v>9.0000000000000006E-5</c:v>
                </c:pt>
                <c:pt idx="375">
                  <c:v>8.0000000000000007E-5</c:v>
                </c:pt>
                <c:pt idx="376">
                  <c:v>8.0000000000000007E-5</c:v>
                </c:pt>
                <c:pt idx="377">
                  <c:v>8.0000000000000007E-5</c:v>
                </c:pt>
                <c:pt idx="378">
                  <c:v>8.0000000000000007E-5</c:v>
                </c:pt>
                <c:pt idx="379">
                  <c:v>8.0000000000000007E-5</c:v>
                </c:pt>
                <c:pt idx="380">
                  <c:v>8.0000000000000007E-5</c:v>
                </c:pt>
                <c:pt idx="381">
                  <c:v>6.9999999999999994E-5</c:v>
                </c:pt>
                <c:pt idx="382">
                  <c:v>6.9999999999999994E-5</c:v>
                </c:pt>
                <c:pt idx="383">
                  <c:v>6.9999999999999994E-5</c:v>
                </c:pt>
                <c:pt idx="384">
                  <c:v>6.9999999999999994E-5</c:v>
                </c:pt>
                <c:pt idx="385">
                  <c:v>6.9999999999999994E-5</c:v>
                </c:pt>
                <c:pt idx="386">
                  <c:v>6.9999999999999994E-5</c:v>
                </c:pt>
                <c:pt idx="387">
                  <c:v>6.9999999999999994E-5</c:v>
                </c:pt>
                <c:pt idx="388">
                  <c:v>6.9999999999999994E-5</c:v>
                </c:pt>
                <c:pt idx="389">
                  <c:v>6.0000000000000002E-5</c:v>
                </c:pt>
                <c:pt idx="390">
                  <c:v>6.0000000000000002E-5</c:v>
                </c:pt>
                <c:pt idx="391">
                  <c:v>6.0000000000000002E-5</c:v>
                </c:pt>
                <c:pt idx="392">
                  <c:v>6.0000000000000002E-5</c:v>
                </c:pt>
                <c:pt idx="393">
                  <c:v>6.0000000000000002E-5</c:v>
                </c:pt>
                <c:pt idx="394">
                  <c:v>6.0000000000000002E-5</c:v>
                </c:pt>
                <c:pt idx="395">
                  <c:v>6.0000000000000002E-5</c:v>
                </c:pt>
                <c:pt idx="396">
                  <c:v>6.0000000000000002E-5</c:v>
                </c:pt>
                <c:pt idx="397">
                  <c:v>6.0000000000000002E-5</c:v>
                </c:pt>
                <c:pt idx="398">
                  <c:v>6.0000000000000002E-5</c:v>
                </c:pt>
                <c:pt idx="399">
                  <c:v>5.0000000000000002E-5</c:v>
                </c:pt>
                <c:pt idx="400">
                  <c:v>5.0000000000000002E-5</c:v>
                </c:pt>
                <c:pt idx="401">
                  <c:v>5.0000000000000002E-5</c:v>
                </c:pt>
                <c:pt idx="402">
                  <c:v>5.0000000000000002E-5</c:v>
                </c:pt>
                <c:pt idx="403">
                  <c:v>5.0000000000000002E-5</c:v>
                </c:pt>
                <c:pt idx="404">
                  <c:v>5.0000000000000002E-5</c:v>
                </c:pt>
                <c:pt idx="405">
                  <c:v>5.0000000000000002E-5</c:v>
                </c:pt>
                <c:pt idx="406">
                  <c:v>5.0000000000000002E-5</c:v>
                </c:pt>
                <c:pt idx="407">
                  <c:v>5.0000000000000002E-5</c:v>
                </c:pt>
                <c:pt idx="408">
                  <c:v>5.0000000000000002E-5</c:v>
                </c:pt>
                <c:pt idx="409">
                  <c:v>5.0000000000000002E-5</c:v>
                </c:pt>
                <c:pt idx="410">
                  <c:v>5.0000000000000002E-5</c:v>
                </c:pt>
                <c:pt idx="411">
                  <c:v>5.0000000000000002E-5</c:v>
                </c:pt>
                <c:pt idx="412">
                  <c:v>5.0000000000000002E-5</c:v>
                </c:pt>
                <c:pt idx="413">
                  <c:v>5.0000000000000002E-5</c:v>
                </c:pt>
                <c:pt idx="414">
                  <c:v>4.0000000000000003E-5</c:v>
                </c:pt>
                <c:pt idx="415">
                  <c:v>4.0000000000000003E-5</c:v>
                </c:pt>
                <c:pt idx="416">
                  <c:v>4.0000000000000003E-5</c:v>
                </c:pt>
                <c:pt idx="417">
                  <c:v>4.0000000000000003E-5</c:v>
                </c:pt>
                <c:pt idx="418">
                  <c:v>4.0000000000000003E-5</c:v>
                </c:pt>
                <c:pt idx="419">
                  <c:v>4.0000000000000003E-5</c:v>
                </c:pt>
                <c:pt idx="420">
                  <c:v>4.0000000000000003E-5</c:v>
                </c:pt>
                <c:pt idx="421">
                  <c:v>4.0000000000000003E-5</c:v>
                </c:pt>
                <c:pt idx="422">
                  <c:v>4.0000000000000003E-5</c:v>
                </c:pt>
                <c:pt idx="423">
                  <c:v>4.0000000000000003E-5</c:v>
                </c:pt>
                <c:pt idx="424">
                  <c:v>4.0000000000000003E-5</c:v>
                </c:pt>
                <c:pt idx="425">
                  <c:v>4.0000000000000003E-5</c:v>
                </c:pt>
                <c:pt idx="426">
                  <c:v>4.0000000000000003E-5</c:v>
                </c:pt>
                <c:pt idx="427">
                  <c:v>4.0000000000000003E-5</c:v>
                </c:pt>
                <c:pt idx="428">
                  <c:v>4.0000000000000003E-5</c:v>
                </c:pt>
                <c:pt idx="429">
                  <c:v>4.0000000000000003E-5</c:v>
                </c:pt>
                <c:pt idx="430">
                  <c:v>4.0000000000000003E-5</c:v>
                </c:pt>
                <c:pt idx="431">
                  <c:v>4.0000000000000003E-5</c:v>
                </c:pt>
                <c:pt idx="432">
                  <c:v>4.0000000000000003E-5</c:v>
                </c:pt>
                <c:pt idx="433">
                  <c:v>4.0000000000000003E-5</c:v>
                </c:pt>
                <c:pt idx="434">
                  <c:v>4.0000000000000003E-5</c:v>
                </c:pt>
                <c:pt idx="435">
                  <c:v>3.0000000000000001E-5</c:v>
                </c:pt>
                <c:pt idx="436">
                  <c:v>3.0000000000000001E-5</c:v>
                </c:pt>
                <c:pt idx="437">
                  <c:v>3.0000000000000001E-5</c:v>
                </c:pt>
                <c:pt idx="438">
                  <c:v>3.0000000000000001E-5</c:v>
                </c:pt>
                <c:pt idx="439">
                  <c:v>3.0000000000000001E-5</c:v>
                </c:pt>
                <c:pt idx="440">
                  <c:v>3.0000000000000001E-5</c:v>
                </c:pt>
                <c:pt idx="441">
                  <c:v>3.0000000000000001E-5</c:v>
                </c:pt>
                <c:pt idx="442">
                  <c:v>3.0000000000000001E-5</c:v>
                </c:pt>
                <c:pt idx="443">
                  <c:v>3.0000000000000001E-5</c:v>
                </c:pt>
                <c:pt idx="444">
                  <c:v>3.0000000000000001E-5</c:v>
                </c:pt>
                <c:pt idx="445">
                  <c:v>3.0000000000000001E-5</c:v>
                </c:pt>
                <c:pt idx="446">
                  <c:v>3.0000000000000001E-5</c:v>
                </c:pt>
                <c:pt idx="447">
                  <c:v>3.0000000000000001E-5</c:v>
                </c:pt>
                <c:pt idx="448">
                  <c:v>3.0000000000000001E-5</c:v>
                </c:pt>
                <c:pt idx="449">
                  <c:v>3.0000000000000001E-5</c:v>
                </c:pt>
                <c:pt idx="450">
                  <c:v>3.0000000000000001E-5</c:v>
                </c:pt>
                <c:pt idx="451">
                  <c:v>3.0000000000000001E-5</c:v>
                </c:pt>
                <c:pt idx="452">
                  <c:v>3.0000000000000001E-5</c:v>
                </c:pt>
                <c:pt idx="453">
                  <c:v>3.0000000000000001E-5</c:v>
                </c:pt>
                <c:pt idx="454">
                  <c:v>3.0000000000000001E-5</c:v>
                </c:pt>
                <c:pt idx="455">
                  <c:v>3.0000000000000001E-5</c:v>
                </c:pt>
                <c:pt idx="456">
                  <c:v>3.0000000000000001E-5</c:v>
                </c:pt>
                <c:pt idx="457">
                  <c:v>3.0000000000000001E-5</c:v>
                </c:pt>
                <c:pt idx="458">
                  <c:v>3.0000000000000001E-5</c:v>
                </c:pt>
                <c:pt idx="459">
                  <c:v>3.0000000000000001E-5</c:v>
                </c:pt>
                <c:pt idx="460">
                  <c:v>3.0000000000000001E-5</c:v>
                </c:pt>
                <c:pt idx="461">
                  <c:v>3.0000000000000001E-5</c:v>
                </c:pt>
                <c:pt idx="462">
                  <c:v>3.0000000000000001E-5</c:v>
                </c:pt>
                <c:pt idx="463">
                  <c:v>3.0000000000000001E-5</c:v>
                </c:pt>
                <c:pt idx="464">
                  <c:v>3.0000000000000001E-5</c:v>
                </c:pt>
                <c:pt idx="465">
                  <c:v>3.0000000000000001E-5</c:v>
                </c:pt>
                <c:pt idx="466">
                  <c:v>3.0000000000000001E-5</c:v>
                </c:pt>
                <c:pt idx="467">
                  <c:v>3.0000000000000001E-5</c:v>
                </c:pt>
                <c:pt idx="468">
                  <c:v>3.0000000000000001E-5</c:v>
                </c:pt>
                <c:pt idx="469">
                  <c:v>3.0000000000000001E-5</c:v>
                </c:pt>
                <c:pt idx="470">
                  <c:v>3.0000000000000001E-5</c:v>
                </c:pt>
                <c:pt idx="471">
                  <c:v>3.0000000000000001E-5</c:v>
                </c:pt>
                <c:pt idx="472">
                  <c:v>3.0000000000000001E-5</c:v>
                </c:pt>
                <c:pt idx="473">
                  <c:v>3.0000000000000001E-5</c:v>
                </c:pt>
                <c:pt idx="474">
                  <c:v>3.0000000000000001E-5</c:v>
                </c:pt>
                <c:pt idx="475">
                  <c:v>3.0000000000000001E-5</c:v>
                </c:pt>
                <c:pt idx="476">
                  <c:v>3.0000000000000001E-5</c:v>
                </c:pt>
                <c:pt idx="477">
                  <c:v>2.0000000000000002E-5</c:v>
                </c:pt>
                <c:pt idx="478">
                  <c:v>2.0000000000000002E-5</c:v>
                </c:pt>
                <c:pt idx="479">
                  <c:v>2.0000000000000002E-5</c:v>
                </c:pt>
                <c:pt idx="480">
                  <c:v>2.0000000000000002E-5</c:v>
                </c:pt>
                <c:pt idx="481">
                  <c:v>2.0000000000000002E-5</c:v>
                </c:pt>
                <c:pt idx="482">
                  <c:v>2.0000000000000002E-5</c:v>
                </c:pt>
                <c:pt idx="483">
                  <c:v>2.0000000000000002E-5</c:v>
                </c:pt>
                <c:pt idx="484">
                  <c:v>2.0000000000000002E-5</c:v>
                </c:pt>
                <c:pt idx="485">
                  <c:v>2.0000000000000002E-5</c:v>
                </c:pt>
                <c:pt idx="486">
                  <c:v>2.0000000000000002E-5</c:v>
                </c:pt>
                <c:pt idx="487">
                  <c:v>2.0000000000000002E-5</c:v>
                </c:pt>
                <c:pt idx="488">
                  <c:v>2.0000000000000002E-5</c:v>
                </c:pt>
                <c:pt idx="489">
                  <c:v>2.0000000000000002E-5</c:v>
                </c:pt>
                <c:pt idx="490">
                  <c:v>2.0000000000000002E-5</c:v>
                </c:pt>
                <c:pt idx="491">
                  <c:v>2.0000000000000002E-5</c:v>
                </c:pt>
                <c:pt idx="492">
                  <c:v>2.0000000000000002E-5</c:v>
                </c:pt>
                <c:pt idx="493">
                  <c:v>2.0000000000000002E-5</c:v>
                </c:pt>
                <c:pt idx="494">
                  <c:v>2.0000000000000002E-5</c:v>
                </c:pt>
                <c:pt idx="495">
                  <c:v>2.0000000000000002E-5</c:v>
                </c:pt>
                <c:pt idx="496">
                  <c:v>2.0000000000000002E-5</c:v>
                </c:pt>
                <c:pt idx="497">
                  <c:v>2.0000000000000002E-5</c:v>
                </c:pt>
                <c:pt idx="498">
                  <c:v>2.0000000000000002E-5</c:v>
                </c:pt>
                <c:pt idx="499">
                  <c:v>2.0000000000000002E-5</c:v>
                </c:pt>
                <c:pt idx="500">
                  <c:v>2.0000000000000002E-5</c:v>
                </c:pt>
                <c:pt idx="501">
                  <c:v>2.0000000000000002E-5</c:v>
                </c:pt>
                <c:pt idx="502">
                  <c:v>2.0000000000000002E-5</c:v>
                </c:pt>
                <c:pt idx="503">
                  <c:v>2.0000000000000002E-5</c:v>
                </c:pt>
                <c:pt idx="504">
                  <c:v>2.0000000000000002E-5</c:v>
                </c:pt>
                <c:pt idx="505">
                  <c:v>2.0000000000000002E-5</c:v>
                </c:pt>
                <c:pt idx="506">
                  <c:v>2.0000000000000002E-5</c:v>
                </c:pt>
                <c:pt idx="507">
                  <c:v>2.0000000000000002E-5</c:v>
                </c:pt>
                <c:pt idx="508">
                  <c:v>2.0000000000000002E-5</c:v>
                </c:pt>
                <c:pt idx="509">
                  <c:v>2.0000000000000002E-5</c:v>
                </c:pt>
                <c:pt idx="510">
                  <c:v>2.0000000000000002E-5</c:v>
                </c:pt>
                <c:pt idx="511">
                  <c:v>2.0000000000000002E-5</c:v>
                </c:pt>
                <c:pt idx="512">
                  <c:v>2.0000000000000002E-5</c:v>
                </c:pt>
                <c:pt idx="513">
                  <c:v>2.0000000000000002E-5</c:v>
                </c:pt>
                <c:pt idx="514">
                  <c:v>2.0000000000000002E-5</c:v>
                </c:pt>
                <c:pt idx="515">
                  <c:v>2.0000000000000002E-5</c:v>
                </c:pt>
                <c:pt idx="516">
                  <c:v>2.0000000000000002E-5</c:v>
                </c:pt>
                <c:pt idx="517">
                  <c:v>2.0000000000000002E-5</c:v>
                </c:pt>
                <c:pt idx="518">
                  <c:v>2.0000000000000002E-5</c:v>
                </c:pt>
                <c:pt idx="519">
                  <c:v>2.0000000000000002E-5</c:v>
                </c:pt>
                <c:pt idx="520">
                  <c:v>2.0000000000000002E-5</c:v>
                </c:pt>
                <c:pt idx="521">
                  <c:v>2.0000000000000002E-5</c:v>
                </c:pt>
                <c:pt idx="522">
                  <c:v>2.0000000000000002E-5</c:v>
                </c:pt>
                <c:pt idx="523">
                  <c:v>2.0000000000000002E-5</c:v>
                </c:pt>
                <c:pt idx="524">
                  <c:v>2.0000000000000002E-5</c:v>
                </c:pt>
                <c:pt idx="525">
                  <c:v>2.0000000000000002E-5</c:v>
                </c:pt>
                <c:pt idx="526">
                  <c:v>2.0000000000000002E-5</c:v>
                </c:pt>
                <c:pt idx="527">
                  <c:v>2.0000000000000002E-5</c:v>
                </c:pt>
                <c:pt idx="528">
                  <c:v>2.0000000000000002E-5</c:v>
                </c:pt>
                <c:pt idx="529">
                  <c:v>2.0000000000000002E-5</c:v>
                </c:pt>
                <c:pt idx="530">
                  <c:v>2.0000000000000002E-5</c:v>
                </c:pt>
                <c:pt idx="531">
                  <c:v>2.0000000000000002E-5</c:v>
                </c:pt>
                <c:pt idx="532">
                  <c:v>2.0000000000000002E-5</c:v>
                </c:pt>
                <c:pt idx="533">
                  <c:v>2.0000000000000002E-5</c:v>
                </c:pt>
                <c:pt idx="534">
                  <c:v>2.0000000000000002E-5</c:v>
                </c:pt>
                <c:pt idx="535">
                  <c:v>2.0000000000000002E-5</c:v>
                </c:pt>
                <c:pt idx="536">
                  <c:v>2.0000000000000002E-5</c:v>
                </c:pt>
                <c:pt idx="537">
                  <c:v>2.0000000000000002E-5</c:v>
                </c:pt>
                <c:pt idx="538">
                  <c:v>2.0000000000000002E-5</c:v>
                </c:pt>
                <c:pt idx="539">
                  <c:v>2.0000000000000002E-5</c:v>
                </c:pt>
                <c:pt idx="540">
                  <c:v>2.0000000000000002E-5</c:v>
                </c:pt>
                <c:pt idx="541">
                  <c:v>2.0000000000000002E-5</c:v>
                </c:pt>
                <c:pt idx="542">
                  <c:v>2.0000000000000002E-5</c:v>
                </c:pt>
                <c:pt idx="543">
                  <c:v>2.0000000000000002E-5</c:v>
                </c:pt>
                <c:pt idx="544">
                  <c:v>2.0000000000000002E-5</c:v>
                </c:pt>
                <c:pt idx="545">
                  <c:v>2.0000000000000002E-5</c:v>
                </c:pt>
                <c:pt idx="546">
                  <c:v>2.0000000000000002E-5</c:v>
                </c:pt>
                <c:pt idx="547">
                  <c:v>2.0000000000000002E-5</c:v>
                </c:pt>
                <c:pt idx="548">
                  <c:v>2.0000000000000002E-5</c:v>
                </c:pt>
                <c:pt idx="549">
                  <c:v>2.0000000000000002E-5</c:v>
                </c:pt>
                <c:pt idx="550">
                  <c:v>2.0000000000000002E-5</c:v>
                </c:pt>
                <c:pt idx="551">
                  <c:v>2.0000000000000002E-5</c:v>
                </c:pt>
                <c:pt idx="552">
                  <c:v>2.0000000000000002E-5</c:v>
                </c:pt>
                <c:pt idx="553">
                  <c:v>2.0000000000000002E-5</c:v>
                </c:pt>
                <c:pt idx="554">
                  <c:v>2.0000000000000002E-5</c:v>
                </c:pt>
                <c:pt idx="555">
                  <c:v>2.0000000000000002E-5</c:v>
                </c:pt>
                <c:pt idx="556">
                  <c:v>2.0000000000000002E-5</c:v>
                </c:pt>
                <c:pt idx="557">
                  <c:v>2.0000000000000002E-5</c:v>
                </c:pt>
                <c:pt idx="558">
                  <c:v>2.0000000000000002E-5</c:v>
                </c:pt>
                <c:pt idx="559">
                  <c:v>2.0000000000000002E-5</c:v>
                </c:pt>
                <c:pt idx="560">
                  <c:v>2.0000000000000002E-5</c:v>
                </c:pt>
                <c:pt idx="561">
                  <c:v>2.0000000000000002E-5</c:v>
                </c:pt>
                <c:pt idx="562">
                  <c:v>2.0000000000000002E-5</c:v>
                </c:pt>
                <c:pt idx="563">
                  <c:v>2.0000000000000002E-5</c:v>
                </c:pt>
                <c:pt idx="564">
                  <c:v>2.0000000000000002E-5</c:v>
                </c:pt>
                <c:pt idx="565">
                  <c:v>2.0000000000000002E-5</c:v>
                </c:pt>
                <c:pt idx="566">
                  <c:v>2.0000000000000002E-5</c:v>
                </c:pt>
                <c:pt idx="567">
                  <c:v>2.0000000000000002E-5</c:v>
                </c:pt>
                <c:pt idx="568">
                  <c:v>2.0000000000000002E-5</c:v>
                </c:pt>
                <c:pt idx="569">
                  <c:v>2.0000000000000002E-5</c:v>
                </c:pt>
                <c:pt idx="570">
                  <c:v>2.0000000000000002E-5</c:v>
                </c:pt>
                <c:pt idx="571">
                  <c:v>2.0000000000000002E-5</c:v>
                </c:pt>
                <c:pt idx="572">
                  <c:v>2.0000000000000002E-5</c:v>
                </c:pt>
                <c:pt idx="573">
                  <c:v>2.0000000000000002E-5</c:v>
                </c:pt>
                <c:pt idx="574">
                  <c:v>2.0000000000000002E-5</c:v>
                </c:pt>
                <c:pt idx="575">
                  <c:v>2.0000000000000002E-5</c:v>
                </c:pt>
                <c:pt idx="576">
                  <c:v>2.0000000000000002E-5</c:v>
                </c:pt>
                <c:pt idx="577">
                  <c:v>2.0000000000000002E-5</c:v>
                </c:pt>
                <c:pt idx="578">
                  <c:v>2.0000000000000002E-5</c:v>
                </c:pt>
                <c:pt idx="579">
                  <c:v>2.0000000000000002E-5</c:v>
                </c:pt>
                <c:pt idx="580">
                  <c:v>2.0000000000000002E-5</c:v>
                </c:pt>
                <c:pt idx="581">
                  <c:v>2.0000000000000002E-5</c:v>
                </c:pt>
                <c:pt idx="582">
                  <c:v>2.0000000000000002E-5</c:v>
                </c:pt>
                <c:pt idx="583">
                  <c:v>2.0000000000000002E-5</c:v>
                </c:pt>
                <c:pt idx="584">
                  <c:v>2.0000000000000002E-5</c:v>
                </c:pt>
                <c:pt idx="585">
                  <c:v>2.0000000000000002E-5</c:v>
                </c:pt>
                <c:pt idx="586">
                  <c:v>2.0000000000000002E-5</c:v>
                </c:pt>
                <c:pt idx="587">
                  <c:v>2.0000000000000002E-5</c:v>
                </c:pt>
                <c:pt idx="588">
                  <c:v>2.0000000000000002E-5</c:v>
                </c:pt>
                <c:pt idx="589">
                  <c:v>2.0000000000000002E-5</c:v>
                </c:pt>
                <c:pt idx="590">
                  <c:v>2.0000000000000002E-5</c:v>
                </c:pt>
                <c:pt idx="591">
                  <c:v>2.0000000000000002E-5</c:v>
                </c:pt>
                <c:pt idx="592">
                  <c:v>2.0000000000000002E-5</c:v>
                </c:pt>
                <c:pt idx="593">
                  <c:v>2.0000000000000002E-5</c:v>
                </c:pt>
                <c:pt idx="594">
                  <c:v>2.0000000000000002E-5</c:v>
                </c:pt>
                <c:pt idx="595">
                  <c:v>2.0000000000000002E-5</c:v>
                </c:pt>
                <c:pt idx="596">
                  <c:v>2.0000000000000002E-5</c:v>
                </c:pt>
                <c:pt idx="597">
                  <c:v>2.0000000000000002E-5</c:v>
                </c:pt>
                <c:pt idx="598">
                  <c:v>2.0000000000000002E-5</c:v>
                </c:pt>
                <c:pt idx="599">
                  <c:v>2.0000000000000002E-5</c:v>
                </c:pt>
                <c:pt idx="600">
                  <c:v>2.0000000000000002E-5</c:v>
                </c:pt>
                <c:pt idx="601">
                  <c:v>2.0000000000000002E-5</c:v>
                </c:pt>
                <c:pt idx="602">
                  <c:v>2.0000000000000002E-5</c:v>
                </c:pt>
                <c:pt idx="603">
                  <c:v>2.0000000000000002E-5</c:v>
                </c:pt>
                <c:pt idx="604">
                  <c:v>2.0000000000000002E-5</c:v>
                </c:pt>
                <c:pt idx="605">
                  <c:v>2.0000000000000002E-5</c:v>
                </c:pt>
                <c:pt idx="606">
                  <c:v>2.0000000000000002E-5</c:v>
                </c:pt>
                <c:pt idx="607">
                  <c:v>2.0000000000000002E-5</c:v>
                </c:pt>
                <c:pt idx="608">
                  <c:v>2.0000000000000002E-5</c:v>
                </c:pt>
                <c:pt idx="609">
                  <c:v>2.0000000000000002E-5</c:v>
                </c:pt>
                <c:pt idx="610">
                  <c:v>2.0000000000000002E-5</c:v>
                </c:pt>
                <c:pt idx="611">
                  <c:v>2.0000000000000002E-5</c:v>
                </c:pt>
                <c:pt idx="612">
                  <c:v>2.0000000000000002E-5</c:v>
                </c:pt>
                <c:pt idx="613">
                  <c:v>2.0000000000000002E-5</c:v>
                </c:pt>
                <c:pt idx="614">
                  <c:v>2.0000000000000002E-5</c:v>
                </c:pt>
                <c:pt idx="615">
                  <c:v>2.0000000000000002E-5</c:v>
                </c:pt>
                <c:pt idx="616">
                  <c:v>2.0000000000000002E-5</c:v>
                </c:pt>
                <c:pt idx="617">
                  <c:v>2.0000000000000002E-5</c:v>
                </c:pt>
                <c:pt idx="618">
                  <c:v>2.0000000000000002E-5</c:v>
                </c:pt>
                <c:pt idx="619">
                  <c:v>2.0000000000000002E-5</c:v>
                </c:pt>
                <c:pt idx="620">
                  <c:v>2.0000000000000002E-5</c:v>
                </c:pt>
                <c:pt idx="621">
                  <c:v>2.0000000000000002E-5</c:v>
                </c:pt>
                <c:pt idx="622">
                  <c:v>2.0000000000000002E-5</c:v>
                </c:pt>
                <c:pt idx="623">
                  <c:v>2.0000000000000002E-5</c:v>
                </c:pt>
                <c:pt idx="624">
                  <c:v>2.0000000000000002E-5</c:v>
                </c:pt>
                <c:pt idx="625">
                  <c:v>2.0000000000000002E-5</c:v>
                </c:pt>
                <c:pt idx="626">
                  <c:v>2.0000000000000002E-5</c:v>
                </c:pt>
                <c:pt idx="627">
                  <c:v>2.0000000000000002E-5</c:v>
                </c:pt>
                <c:pt idx="628">
                  <c:v>2.0000000000000002E-5</c:v>
                </c:pt>
                <c:pt idx="629">
                  <c:v>2.0000000000000002E-5</c:v>
                </c:pt>
                <c:pt idx="630">
                  <c:v>2.0000000000000002E-5</c:v>
                </c:pt>
                <c:pt idx="631">
                  <c:v>2.0000000000000002E-5</c:v>
                </c:pt>
                <c:pt idx="632">
                  <c:v>2.0000000000000002E-5</c:v>
                </c:pt>
                <c:pt idx="633">
                  <c:v>2.0000000000000002E-5</c:v>
                </c:pt>
                <c:pt idx="634">
                  <c:v>2.0000000000000002E-5</c:v>
                </c:pt>
                <c:pt idx="635">
                  <c:v>2.0000000000000002E-5</c:v>
                </c:pt>
                <c:pt idx="636">
                  <c:v>2.0000000000000002E-5</c:v>
                </c:pt>
                <c:pt idx="637">
                  <c:v>2.0000000000000002E-5</c:v>
                </c:pt>
                <c:pt idx="638">
                  <c:v>2.0000000000000002E-5</c:v>
                </c:pt>
                <c:pt idx="639">
                  <c:v>2.0000000000000002E-5</c:v>
                </c:pt>
                <c:pt idx="640">
                  <c:v>2.0000000000000002E-5</c:v>
                </c:pt>
                <c:pt idx="641">
                  <c:v>2.0000000000000002E-5</c:v>
                </c:pt>
                <c:pt idx="642">
                  <c:v>2.0000000000000002E-5</c:v>
                </c:pt>
                <c:pt idx="643">
                  <c:v>2.0000000000000002E-5</c:v>
                </c:pt>
                <c:pt idx="644">
                  <c:v>2.0000000000000002E-5</c:v>
                </c:pt>
                <c:pt idx="645">
                  <c:v>2.0000000000000002E-5</c:v>
                </c:pt>
                <c:pt idx="646">
                  <c:v>2.0000000000000002E-5</c:v>
                </c:pt>
                <c:pt idx="647">
                  <c:v>2.0000000000000002E-5</c:v>
                </c:pt>
                <c:pt idx="648">
                  <c:v>2.0000000000000002E-5</c:v>
                </c:pt>
                <c:pt idx="649">
                  <c:v>2.0000000000000002E-5</c:v>
                </c:pt>
                <c:pt idx="650">
                  <c:v>2.0000000000000002E-5</c:v>
                </c:pt>
                <c:pt idx="651">
                  <c:v>2.0000000000000002E-5</c:v>
                </c:pt>
                <c:pt idx="652">
                  <c:v>2.0000000000000002E-5</c:v>
                </c:pt>
                <c:pt idx="653">
                  <c:v>2.0000000000000002E-5</c:v>
                </c:pt>
                <c:pt idx="654">
                  <c:v>2.0000000000000002E-5</c:v>
                </c:pt>
                <c:pt idx="655">
                  <c:v>3.0000000000000001E-5</c:v>
                </c:pt>
                <c:pt idx="656">
                  <c:v>3.0000000000000001E-5</c:v>
                </c:pt>
                <c:pt idx="657">
                  <c:v>3.0000000000000001E-5</c:v>
                </c:pt>
                <c:pt idx="658">
                  <c:v>3.0000000000000001E-5</c:v>
                </c:pt>
                <c:pt idx="659">
                  <c:v>3.0000000000000001E-5</c:v>
                </c:pt>
                <c:pt idx="660">
                  <c:v>3.0000000000000001E-5</c:v>
                </c:pt>
                <c:pt idx="661">
                  <c:v>3.0000000000000001E-5</c:v>
                </c:pt>
                <c:pt idx="662">
                  <c:v>3.0000000000000001E-5</c:v>
                </c:pt>
                <c:pt idx="663">
                  <c:v>3.0000000000000001E-5</c:v>
                </c:pt>
                <c:pt idx="664">
                  <c:v>3.0000000000000001E-5</c:v>
                </c:pt>
                <c:pt idx="665">
                  <c:v>3.0000000000000001E-5</c:v>
                </c:pt>
                <c:pt idx="666">
                  <c:v>3.0000000000000001E-5</c:v>
                </c:pt>
                <c:pt idx="667">
                  <c:v>3.0000000000000001E-5</c:v>
                </c:pt>
                <c:pt idx="668">
                  <c:v>3.0000000000000001E-5</c:v>
                </c:pt>
                <c:pt idx="669">
                  <c:v>3.0000000000000001E-5</c:v>
                </c:pt>
                <c:pt idx="670">
                  <c:v>3.0000000000000001E-5</c:v>
                </c:pt>
                <c:pt idx="671">
                  <c:v>3.0000000000000001E-5</c:v>
                </c:pt>
                <c:pt idx="672">
                  <c:v>4.0000000000000003E-5</c:v>
                </c:pt>
                <c:pt idx="673">
                  <c:v>4.0000000000000003E-5</c:v>
                </c:pt>
                <c:pt idx="674">
                  <c:v>4.0000000000000003E-5</c:v>
                </c:pt>
                <c:pt idx="675">
                  <c:v>4.0000000000000003E-5</c:v>
                </c:pt>
                <c:pt idx="676">
                  <c:v>4.0000000000000003E-5</c:v>
                </c:pt>
                <c:pt idx="677">
                  <c:v>4.0000000000000003E-5</c:v>
                </c:pt>
                <c:pt idx="678">
                  <c:v>4.0000000000000003E-5</c:v>
                </c:pt>
                <c:pt idx="679">
                  <c:v>4.0000000000000003E-5</c:v>
                </c:pt>
                <c:pt idx="680">
                  <c:v>4.0000000000000003E-5</c:v>
                </c:pt>
                <c:pt idx="681">
                  <c:v>4.0000000000000003E-5</c:v>
                </c:pt>
                <c:pt idx="682">
                  <c:v>4.0000000000000003E-5</c:v>
                </c:pt>
                <c:pt idx="683">
                  <c:v>4.0000000000000003E-5</c:v>
                </c:pt>
                <c:pt idx="684">
                  <c:v>4.0000000000000003E-5</c:v>
                </c:pt>
                <c:pt idx="685">
                  <c:v>5.0000000000000002E-5</c:v>
                </c:pt>
                <c:pt idx="686">
                  <c:v>5.0000000000000002E-5</c:v>
                </c:pt>
                <c:pt idx="687">
                  <c:v>5.0000000000000002E-5</c:v>
                </c:pt>
                <c:pt idx="688">
                  <c:v>5.0000000000000002E-5</c:v>
                </c:pt>
                <c:pt idx="689">
                  <c:v>5.0000000000000002E-5</c:v>
                </c:pt>
                <c:pt idx="690">
                  <c:v>5.0000000000000002E-5</c:v>
                </c:pt>
                <c:pt idx="691">
                  <c:v>5.0000000000000002E-5</c:v>
                </c:pt>
                <c:pt idx="692">
                  <c:v>5.0000000000000002E-5</c:v>
                </c:pt>
                <c:pt idx="693">
                  <c:v>5.0000000000000002E-5</c:v>
                </c:pt>
                <c:pt idx="694">
                  <c:v>5.0000000000000002E-5</c:v>
                </c:pt>
                <c:pt idx="695">
                  <c:v>5.0000000000000002E-5</c:v>
                </c:pt>
                <c:pt idx="696">
                  <c:v>6.0000000000000002E-5</c:v>
                </c:pt>
                <c:pt idx="697">
                  <c:v>6.0000000000000002E-5</c:v>
                </c:pt>
                <c:pt idx="698">
                  <c:v>6.0000000000000002E-5</c:v>
                </c:pt>
                <c:pt idx="699">
                  <c:v>6.0000000000000002E-5</c:v>
                </c:pt>
                <c:pt idx="700">
                  <c:v>6.0000000000000002E-5</c:v>
                </c:pt>
                <c:pt idx="701">
                  <c:v>6.0000000000000002E-5</c:v>
                </c:pt>
                <c:pt idx="702">
                  <c:v>6.0000000000000002E-5</c:v>
                </c:pt>
                <c:pt idx="703">
                  <c:v>6.0000000000000002E-5</c:v>
                </c:pt>
                <c:pt idx="704">
                  <c:v>6.9999999999999994E-5</c:v>
                </c:pt>
                <c:pt idx="705">
                  <c:v>6.9999999999999994E-5</c:v>
                </c:pt>
                <c:pt idx="706">
                  <c:v>6.9999999999999994E-5</c:v>
                </c:pt>
                <c:pt idx="707">
                  <c:v>6.9999999999999994E-5</c:v>
                </c:pt>
                <c:pt idx="708">
                  <c:v>6.9999999999999994E-5</c:v>
                </c:pt>
                <c:pt idx="709">
                  <c:v>6.9999999999999994E-5</c:v>
                </c:pt>
                <c:pt idx="710">
                  <c:v>8.0000000000000007E-5</c:v>
                </c:pt>
                <c:pt idx="711">
                  <c:v>8.0000000000000007E-5</c:v>
                </c:pt>
                <c:pt idx="712">
                  <c:v>8.0000000000000007E-5</c:v>
                </c:pt>
                <c:pt idx="713">
                  <c:v>8.0000000000000007E-5</c:v>
                </c:pt>
                <c:pt idx="714">
                  <c:v>8.0000000000000007E-5</c:v>
                </c:pt>
                <c:pt idx="715">
                  <c:v>9.0000000000000006E-5</c:v>
                </c:pt>
                <c:pt idx="716">
                  <c:v>9.0000000000000006E-5</c:v>
                </c:pt>
                <c:pt idx="717">
                  <c:v>9.0000000000000006E-5</c:v>
                </c:pt>
                <c:pt idx="718">
                  <c:v>9.0000000000000006E-5</c:v>
                </c:pt>
                <c:pt idx="719">
                  <c:v>9.0000000000000006E-5</c:v>
                </c:pt>
                <c:pt idx="720">
                  <c:v>1E-4</c:v>
                </c:pt>
                <c:pt idx="721">
                  <c:v>1E-4</c:v>
                </c:pt>
                <c:pt idx="722">
                  <c:v>1E-4</c:v>
                </c:pt>
                <c:pt idx="723">
                  <c:v>1E-4</c:v>
                </c:pt>
                <c:pt idx="724">
                  <c:v>1.1E-4</c:v>
                </c:pt>
                <c:pt idx="725">
                  <c:v>1.1E-4</c:v>
                </c:pt>
                <c:pt idx="726">
                  <c:v>1.1E-4</c:v>
                </c:pt>
                <c:pt idx="727">
                  <c:v>1.1E-4</c:v>
                </c:pt>
                <c:pt idx="728">
                  <c:v>1.2E-4</c:v>
                </c:pt>
                <c:pt idx="729">
                  <c:v>1.2E-4</c:v>
                </c:pt>
                <c:pt idx="730">
                  <c:v>1.2E-4</c:v>
                </c:pt>
                <c:pt idx="731">
                  <c:v>1.2E-4</c:v>
                </c:pt>
                <c:pt idx="732">
                  <c:v>1.2999999999999999E-4</c:v>
                </c:pt>
                <c:pt idx="733">
                  <c:v>1.2999999999999999E-4</c:v>
                </c:pt>
                <c:pt idx="734">
                  <c:v>1.2999999999999999E-4</c:v>
                </c:pt>
                <c:pt idx="735">
                  <c:v>1.3999999999999999E-4</c:v>
                </c:pt>
                <c:pt idx="736">
                  <c:v>1.3999999999999999E-4</c:v>
                </c:pt>
                <c:pt idx="737">
                  <c:v>1.3999999999999999E-4</c:v>
                </c:pt>
                <c:pt idx="738">
                  <c:v>1.4999999999999999E-4</c:v>
                </c:pt>
                <c:pt idx="739">
                  <c:v>1.4999999999999999E-4</c:v>
                </c:pt>
                <c:pt idx="740">
                  <c:v>1.4999999999999999E-4</c:v>
                </c:pt>
                <c:pt idx="741">
                  <c:v>1.6000000000000001E-4</c:v>
                </c:pt>
                <c:pt idx="742">
                  <c:v>1.6000000000000001E-4</c:v>
                </c:pt>
                <c:pt idx="743">
                  <c:v>1.6000000000000001E-4</c:v>
                </c:pt>
                <c:pt idx="744">
                  <c:v>1.7000000000000001E-4</c:v>
                </c:pt>
                <c:pt idx="745">
                  <c:v>1.7000000000000001E-4</c:v>
                </c:pt>
                <c:pt idx="746">
                  <c:v>1.8000000000000001E-4</c:v>
                </c:pt>
                <c:pt idx="747">
                  <c:v>1.8000000000000001E-4</c:v>
                </c:pt>
                <c:pt idx="748">
                  <c:v>1.8000000000000001E-4</c:v>
                </c:pt>
                <c:pt idx="749">
                  <c:v>1.9000000000000001E-4</c:v>
                </c:pt>
                <c:pt idx="750">
                  <c:v>1.9000000000000001E-4</c:v>
                </c:pt>
                <c:pt idx="751">
                  <c:v>1.9000000000000001E-4</c:v>
                </c:pt>
                <c:pt idx="752">
                  <c:v>2.0000000000000001E-4</c:v>
                </c:pt>
                <c:pt idx="753">
                  <c:v>2.0000000000000001E-4</c:v>
                </c:pt>
                <c:pt idx="754">
                  <c:v>2.0000000000000001E-4</c:v>
                </c:pt>
                <c:pt idx="755">
                  <c:v>2.1000000000000001E-4</c:v>
                </c:pt>
                <c:pt idx="756">
                  <c:v>2.1000000000000001E-4</c:v>
                </c:pt>
                <c:pt idx="757">
                  <c:v>2.1000000000000001E-4</c:v>
                </c:pt>
                <c:pt idx="758">
                  <c:v>2.2000000000000001E-4</c:v>
                </c:pt>
                <c:pt idx="759">
                  <c:v>2.2000000000000001E-4</c:v>
                </c:pt>
                <c:pt idx="760">
                  <c:v>2.2000000000000001E-4</c:v>
                </c:pt>
                <c:pt idx="761">
                  <c:v>2.3000000000000001E-4</c:v>
                </c:pt>
                <c:pt idx="762">
                  <c:v>2.3000000000000001E-4</c:v>
                </c:pt>
                <c:pt idx="763">
                  <c:v>2.3000000000000001E-4</c:v>
                </c:pt>
                <c:pt idx="764">
                  <c:v>2.4000000000000001E-4</c:v>
                </c:pt>
                <c:pt idx="765">
                  <c:v>2.4000000000000001E-4</c:v>
                </c:pt>
                <c:pt idx="766">
                  <c:v>2.5000000000000001E-4</c:v>
                </c:pt>
                <c:pt idx="767">
                  <c:v>2.5000000000000001E-4</c:v>
                </c:pt>
                <c:pt idx="768">
                  <c:v>2.5000000000000001E-4</c:v>
                </c:pt>
                <c:pt idx="769">
                  <c:v>2.5999999999999998E-4</c:v>
                </c:pt>
                <c:pt idx="770">
                  <c:v>2.5999999999999998E-4</c:v>
                </c:pt>
                <c:pt idx="771">
                  <c:v>2.7E-4</c:v>
                </c:pt>
                <c:pt idx="772">
                  <c:v>2.7E-4</c:v>
                </c:pt>
                <c:pt idx="773">
                  <c:v>2.7E-4</c:v>
                </c:pt>
                <c:pt idx="774">
                  <c:v>2.7999999999999998E-4</c:v>
                </c:pt>
                <c:pt idx="775">
                  <c:v>2.7999999999999998E-4</c:v>
                </c:pt>
                <c:pt idx="776">
                  <c:v>2.9E-4</c:v>
                </c:pt>
                <c:pt idx="777">
                  <c:v>2.9E-4</c:v>
                </c:pt>
                <c:pt idx="778">
                  <c:v>2.9E-4</c:v>
                </c:pt>
                <c:pt idx="779">
                  <c:v>2.9999999999999997E-4</c:v>
                </c:pt>
                <c:pt idx="780">
                  <c:v>2.9999999999999997E-4</c:v>
                </c:pt>
                <c:pt idx="781">
                  <c:v>3.1E-4</c:v>
                </c:pt>
                <c:pt idx="782">
                  <c:v>3.1E-4</c:v>
                </c:pt>
                <c:pt idx="783">
                  <c:v>3.2000000000000003E-4</c:v>
                </c:pt>
                <c:pt idx="784">
                  <c:v>3.2000000000000003E-4</c:v>
                </c:pt>
                <c:pt idx="785">
                  <c:v>3.3E-4</c:v>
                </c:pt>
                <c:pt idx="786">
                  <c:v>3.3E-4</c:v>
                </c:pt>
                <c:pt idx="787">
                  <c:v>3.4000000000000002E-4</c:v>
                </c:pt>
                <c:pt idx="788">
                  <c:v>3.4000000000000002E-4</c:v>
                </c:pt>
                <c:pt idx="789">
                  <c:v>3.5E-4</c:v>
                </c:pt>
                <c:pt idx="790">
                  <c:v>3.5E-4</c:v>
                </c:pt>
                <c:pt idx="791">
                  <c:v>3.6000000000000002E-4</c:v>
                </c:pt>
                <c:pt idx="792">
                  <c:v>3.6000000000000002E-4</c:v>
                </c:pt>
                <c:pt idx="793">
                  <c:v>3.6999999999999999E-4</c:v>
                </c:pt>
                <c:pt idx="794">
                  <c:v>3.6999999999999999E-4</c:v>
                </c:pt>
                <c:pt idx="795">
                  <c:v>3.8000000000000002E-4</c:v>
                </c:pt>
                <c:pt idx="796">
                  <c:v>3.8000000000000002E-4</c:v>
                </c:pt>
                <c:pt idx="797">
                  <c:v>3.8999999999999999E-4</c:v>
                </c:pt>
                <c:pt idx="798">
                  <c:v>3.8999999999999999E-4</c:v>
                </c:pt>
                <c:pt idx="799">
                  <c:v>4.0000000000000002E-4</c:v>
                </c:pt>
                <c:pt idx="800">
                  <c:v>4.0999999999999999E-4</c:v>
                </c:pt>
                <c:pt idx="801">
                  <c:v>4.0000000000000002E-4</c:v>
                </c:pt>
                <c:pt idx="802">
                  <c:v>4.0000000000000002E-4</c:v>
                </c:pt>
                <c:pt idx="803">
                  <c:v>4.0000000000000002E-4</c:v>
                </c:pt>
                <c:pt idx="804">
                  <c:v>4.0000000000000002E-4</c:v>
                </c:pt>
                <c:pt idx="805">
                  <c:v>4.0000000000000002E-4</c:v>
                </c:pt>
                <c:pt idx="806">
                  <c:v>4.0000000000000002E-4</c:v>
                </c:pt>
                <c:pt idx="807">
                  <c:v>4.0000000000000002E-4</c:v>
                </c:pt>
                <c:pt idx="808">
                  <c:v>4.0000000000000002E-4</c:v>
                </c:pt>
                <c:pt idx="809">
                  <c:v>4.0000000000000002E-4</c:v>
                </c:pt>
                <c:pt idx="810">
                  <c:v>4.0000000000000002E-4</c:v>
                </c:pt>
                <c:pt idx="811">
                  <c:v>4.0000000000000002E-4</c:v>
                </c:pt>
                <c:pt idx="812">
                  <c:v>4.0000000000000002E-4</c:v>
                </c:pt>
                <c:pt idx="813">
                  <c:v>4.0000000000000002E-4</c:v>
                </c:pt>
                <c:pt idx="814">
                  <c:v>4.0000000000000002E-4</c:v>
                </c:pt>
                <c:pt idx="815">
                  <c:v>3.8999999999999999E-4</c:v>
                </c:pt>
                <c:pt idx="816">
                  <c:v>3.8999999999999999E-4</c:v>
                </c:pt>
                <c:pt idx="817">
                  <c:v>3.8999999999999999E-4</c:v>
                </c:pt>
                <c:pt idx="818">
                  <c:v>3.8999999999999999E-4</c:v>
                </c:pt>
                <c:pt idx="819">
                  <c:v>3.8999999999999999E-4</c:v>
                </c:pt>
                <c:pt idx="820">
                  <c:v>3.8999999999999999E-4</c:v>
                </c:pt>
                <c:pt idx="821">
                  <c:v>3.8999999999999999E-4</c:v>
                </c:pt>
                <c:pt idx="822">
                  <c:v>3.8999999999999999E-4</c:v>
                </c:pt>
                <c:pt idx="823">
                  <c:v>3.8999999999999999E-4</c:v>
                </c:pt>
                <c:pt idx="824">
                  <c:v>3.8999999999999999E-4</c:v>
                </c:pt>
                <c:pt idx="825">
                  <c:v>3.8999999999999999E-4</c:v>
                </c:pt>
                <c:pt idx="826">
                  <c:v>3.8999999999999999E-4</c:v>
                </c:pt>
                <c:pt idx="827">
                  <c:v>3.8000000000000002E-4</c:v>
                </c:pt>
                <c:pt idx="828">
                  <c:v>3.8000000000000002E-4</c:v>
                </c:pt>
                <c:pt idx="829">
                  <c:v>3.8000000000000002E-4</c:v>
                </c:pt>
                <c:pt idx="830">
                  <c:v>3.8000000000000002E-4</c:v>
                </c:pt>
                <c:pt idx="831">
                  <c:v>3.8000000000000002E-4</c:v>
                </c:pt>
                <c:pt idx="832">
                  <c:v>3.8000000000000002E-4</c:v>
                </c:pt>
                <c:pt idx="833">
                  <c:v>3.8000000000000002E-4</c:v>
                </c:pt>
                <c:pt idx="834">
                  <c:v>3.8000000000000002E-4</c:v>
                </c:pt>
                <c:pt idx="835">
                  <c:v>3.8000000000000002E-4</c:v>
                </c:pt>
                <c:pt idx="836">
                  <c:v>3.8000000000000002E-4</c:v>
                </c:pt>
                <c:pt idx="837">
                  <c:v>3.8000000000000002E-4</c:v>
                </c:pt>
                <c:pt idx="838">
                  <c:v>3.6999999999999999E-4</c:v>
                </c:pt>
                <c:pt idx="839">
                  <c:v>3.6999999999999999E-4</c:v>
                </c:pt>
                <c:pt idx="840">
                  <c:v>3.6999999999999999E-4</c:v>
                </c:pt>
                <c:pt idx="841">
                  <c:v>3.6999999999999999E-4</c:v>
                </c:pt>
                <c:pt idx="842">
                  <c:v>3.6999999999999999E-4</c:v>
                </c:pt>
                <c:pt idx="843">
                  <c:v>3.6999999999999999E-4</c:v>
                </c:pt>
                <c:pt idx="844">
                  <c:v>3.6999999999999999E-4</c:v>
                </c:pt>
                <c:pt idx="845">
                  <c:v>3.6999999999999999E-4</c:v>
                </c:pt>
                <c:pt idx="846">
                  <c:v>3.6999999999999999E-4</c:v>
                </c:pt>
                <c:pt idx="847">
                  <c:v>3.6999999999999999E-4</c:v>
                </c:pt>
                <c:pt idx="848">
                  <c:v>3.6000000000000002E-4</c:v>
                </c:pt>
                <c:pt idx="849">
                  <c:v>3.6000000000000002E-4</c:v>
                </c:pt>
                <c:pt idx="850">
                  <c:v>3.6000000000000002E-4</c:v>
                </c:pt>
                <c:pt idx="851">
                  <c:v>3.6000000000000002E-4</c:v>
                </c:pt>
                <c:pt idx="852">
                  <c:v>3.6000000000000002E-4</c:v>
                </c:pt>
                <c:pt idx="853">
                  <c:v>3.5E-4</c:v>
                </c:pt>
                <c:pt idx="854">
                  <c:v>3.5E-4</c:v>
                </c:pt>
                <c:pt idx="855">
                  <c:v>3.5E-4</c:v>
                </c:pt>
                <c:pt idx="856">
                  <c:v>3.4000000000000002E-4</c:v>
                </c:pt>
                <c:pt idx="857">
                  <c:v>3.4000000000000002E-4</c:v>
                </c:pt>
                <c:pt idx="858">
                  <c:v>3.4000000000000002E-4</c:v>
                </c:pt>
                <c:pt idx="859">
                  <c:v>3.3E-4</c:v>
                </c:pt>
                <c:pt idx="860">
                  <c:v>3.3E-4</c:v>
                </c:pt>
                <c:pt idx="861">
                  <c:v>3.3E-4</c:v>
                </c:pt>
                <c:pt idx="862">
                  <c:v>3.3E-4</c:v>
                </c:pt>
                <c:pt idx="863">
                  <c:v>3.2000000000000003E-4</c:v>
                </c:pt>
                <c:pt idx="864">
                  <c:v>3.2000000000000003E-4</c:v>
                </c:pt>
                <c:pt idx="865">
                  <c:v>3.2000000000000003E-4</c:v>
                </c:pt>
                <c:pt idx="866">
                  <c:v>3.1E-4</c:v>
                </c:pt>
                <c:pt idx="867">
                  <c:v>3.1E-4</c:v>
                </c:pt>
                <c:pt idx="868">
                  <c:v>3.1E-4</c:v>
                </c:pt>
                <c:pt idx="869">
                  <c:v>3.1E-4</c:v>
                </c:pt>
                <c:pt idx="870">
                  <c:v>2.9999999999999997E-4</c:v>
                </c:pt>
                <c:pt idx="871">
                  <c:v>2.9999999999999997E-4</c:v>
                </c:pt>
                <c:pt idx="872">
                  <c:v>2.9999999999999997E-4</c:v>
                </c:pt>
                <c:pt idx="873">
                  <c:v>2.9999999999999997E-4</c:v>
                </c:pt>
                <c:pt idx="874">
                  <c:v>2.9E-4</c:v>
                </c:pt>
                <c:pt idx="875">
                  <c:v>2.9E-4</c:v>
                </c:pt>
                <c:pt idx="876">
                  <c:v>2.9E-4</c:v>
                </c:pt>
                <c:pt idx="877">
                  <c:v>2.9E-4</c:v>
                </c:pt>
                <c:pt idx="878">
                  <c:v>2.7999999999999998E-4</c:v>
                </c:pt>
                <c:pt idx="879">
                  <c:v>2.7999999999999998E-4</c:v>
                </c:pt>
                <c:pt idx="880">
                  <c:v>2.7999999999999998E-4</c:v>
                </c:pt>
                <c:pt idx="881">
                  <c:v>2.7999999999999998E-4</c:v>
                </c:pt>
                <c:pt idx="882">
                  <c:v>2.7E-4</c:v>
                </c:pt>
                <c:pt idx="883">
                  <c:v>2.7E-4</c:v>
                </c:pt>
                <c:pt idx="884">
                  <c:v>2.7E-4</c:v>
                </c:pt>
                <c:pt idx="885">
                  <c:v>2.7E-4</c:v>
                </c:pt>
                <c:pt idx="886">
                  <c:v>2.5999999999999998E-4</c:v>
                </c:pt>
                <c:pt idx="887">
                  <c:v>2.5999999999999998E-4</c:v>
                </c:pt>
                <c:pt idx="888">
                  <c:v>2.5999999999999998E-4</c:v>
                </c:pt>
                <c:pt idx="889">
                  <c:v>2.5999999999999998E-4</c:v>
                </c:pt>
                <c:pt idx="890">
                  <c:v>2.5000000000000001E-4</c:v>
                </c:pt>
                <c:pt idx="891">
                  <c:v>2.5000000000000001E-4</c:v>
                </c:pt>
                <c:pt idx="892">
                  <c:v>2.5000000000000001E-4</c:v>
                </c:pt>
                <c:pt idx="893">
                  <c:v>2.5000000000000001E-4</c:v>
                </c:pt>
                <c:pt idx="894">
                  <c:v>2.5000000000000001E-4</c:v>
                </c:pt>
                <c:pt idx="895">
                  <c:v>2.4000000000000001E-4</c:v>
                </c:pt>
                <c:pt idx="896">
                  <c:v>2.4000000000000001E-4</c:v>
                </c:pt>
                <c:pt idx="897">
                  <c:v>2.4000000000000001E-4</c:v>
                </c:pt>
                <c:pt idx="898">
                  <c:v>2.4000000000000001E-4</c:v>
                </c:pt>
                <c:pt idx="899">
                  <c:v>2.3000000000000001E-4</c:v>
                </c:pt>
                <c:pt idx="900">
                  <c:v>2.3000000000000001E-4</c:v>
                </c:pt>
                <c:pt idx="901">
                  <c:v>2.3000000000000001E-4</c:v>
                </c:pt>
                <c:pt idx="902">
                  <c:v>2.3000000000000001E-4</c:v>
                </c:pt>
                <c:pt idx="903">
                  <c:v>2.3000000000000001E-4</c:v>
                </c:pt>
                <c:pt idx="904">
                  <c:v>2.2000000000000001E-4</c:v>
                </c:pt>
                <c:pt idx="905">
                  <c:v>2.2000000000000001E-4</c:v>
                </c:pt>
                <c:pt idx="906">
                  <c:v>2.2000000000000001E-4</c:v>
                </c:pt>
                <c:pt idx="907">
                  <c:v>2.2000000000000001E-4</c:v>
                </c:pt>
                <c:pt idx="908">
                  <c:v>2.2000000000000001E-4</c:v>
                </c:pt>
                <c:pt idx="909">
                  <c:v>2.1000000000000001E-4</c:v>
                </c:pt>
                <c:pt idx="910">
                  <c:v>2.1000000000000001E-4</c:v>
                </c:pt>
                <c:pt idx="911">
                  <c:v>2.1000000000000001E-4</c:v>
                </c:pt>
                <c:pt idx="912">
                  <c:v>2.1000000000000001E-4</c:v>
                </c:pt>
                <c:pt idx="913">
                  <c:v>2.1000000000000001E-4</c:v>
                </c:pt>
                <c:pt idx="914">
                  <c:v>2.1000000000000001E-4</c:v>
                </c:pt>
                <c:pt idx="915">
                  <c:v>2.0000000000000001E-4</c:v>
                </c:pt>
                <c:pt idx="916">
                  <c:v>2.0000000000000001E-4</c:v>
                </c:pt>
                <c:pt idx="917">
                  <c:v>2.0000000000000001E-4</c:v>
                </c:pt>
                <c:pt idx="918">
                  <c:v>2.0000000000000001E-4</c:v>
                </c:pt>
                <c:pt idx="919">
                  <c:v>2.0000000000000001E-4</c:v>
                </c:pt>
                <c:pt idx="920">
                  <c:v>2.0000000000000001E-4</c:v>
                </c:pt>
                <c:pt idx="921">
                  <c:v>1.9000000000000001E-4</c:v>
                </c:pt>
                <c:pt idx="922">
                  <c:v>1.9000000000000001E-4</c:v>
                </c:pt>
                <c:pt idx="923">
                  <c:v>1.9000000000000001E-4</c:v>
                </c:pt>
                <c:pt idx="924">
                  <c:v>1.9000000000000001E-4</c:v>
                </c:pt>
                <c:pt idx="925">
                  <c:v>1.9000000000000001E-4</c:v>
                </c:pt>
                <c:pt idx="926">
                  <c:v>1.9000000000000001E-4</c:v>
                </c:pt>
                <c:pt idx="927">
                  <c:v>1.8000000000000001E-4</c:v>
                </c:pt>
                <c:pt idx="928">
                  <c:v>1.8000000000000001E-4</c:v>
                </c:pt>
                <c:pt idx="929">
                  <c:v>1.8000000000000001E-4</c:v>
                </c:pt>
                <c:pt idx="930">
                  <c:v>1.8000000000000001E-4</c:v>
                </c:pt>
                <c:pt idx="931">
                  <c:v>1.8000000000000001E-4</c:v>
                </c:pt>
                <c:pt idx="932">
                  <c:v>1.8000000000000001E-4</c:v>
                </c:pt>
                <c:pt idx="933">
                  <c:v>1.7000000000000001E-4</c:v>
                </c:pt>
                <c:pt idx="934">
                  <c:v>1.7000000000000001E-4</c:v>
                </c:pt>
                <c:pt idx="935">
                  <c:v>1.7000000000000001E-4</c:v>
                </c:pt>
                <c:pt idx="936">
                  <c:v>1.7000000000000001E-4</c:v>
                </c:pt>
                <c:pt idx="937">
                  <c:v>1.7000000000000001E-4</c:v>
                </c:pt>
                <c:pt idx="938">
                  <c:v>1.7000000000000001E-4</c:v>
                </c:pt>
                <c:pt idx="939">
                  <c:v>1.7000000000000001E-4</c:v>
                </c:pt>
                <c:pt idx="940">
                  <c:v>1.6000000000000001E-4</c:v>
                </c:pt>
                <c:pt idx="941">
                  <c:v>1.6000000000000001E-4</c:v>
                </c:pt>
                <c:pt idx="942">
                  <c:v>1.6000000000000001E-4</c:v>
                </c:pt>
                <c:pt idx="943">
                  <c:v>1.6000000000000001E-4</c:v>
                </c:pt>
                <c:pt idx="944">
                  <c:v>1.6000000000000001E-4</c:v>
                </c:pt>
                <c:pt idx="945">
                  <c:v>1.6000000000000001E-4</c:v>
                </c:pt>
                <c:pt idx="946">
                  <c:v>1.6000000000000001E-4</c:v>
                </c:pt>
                <c:pt idx="947">
                  <c:v>1.4999999999999999E-4</c:v>
                </c:pt>
                <c:pt idx="948">
                  <c:v>1.4999999999999999E-4</c:v>
                </c:pt>
                <c:pt idx="949">
                  <c:v>1.4999999999999999E-4</c:v>
                </c:pt>
                <c:pt idx="950">
                  <c:v>1.4999999999999999E-4</c:v>
                </c:pt>
                <c:pt idx="951">
                  <c:v>1.4999999999999999E-4</c:v>
                </c:pt>
                <c:pt idx="952">
                  <c:v>1.4999999999999999E-4</c:v>
                </c:pt>
                <c:pt idx="953">
                  <c:v>1.4999999999999999E-4</c:v>
                </c:pt>
                <c:pt idx="954">
                  <c:v>1.4999999999999999E-4</c:v>
                </c:pt>
                <c:pt idx="955">
                  <c:v>1.3999999999999999E-4</c:v>
                </c:pt>
                <c:pt idx="956">
                  <c:v>1.3999999999999999E-4</c:v>
                </c:pt>
                <c:pt idx="957">
                  <c:v>1.3999999999999999E-4</c:v>
                </c:pt>
                <c:pt idx="958">
                  <c:v>1.3999999999999999E-4</c:v>
                </c:pt>
                <c:pt idx="959">
                  <c:v>1.3999999999999999E-4</c:v>
                </c:pt>
                <c:pt idx="960">
                  <c:v>1.3999999999999999E-4</c:v>
                </c:pt>
                <c:pt idx="961">
                  <c:v>1.3999999999999999E-4</c:v>
                </c:pt>
                <c:pt idx="962">
                  <c:v>1.3999999999999999E-4</c:v>
                </c:pt>
                <c:pt idx="963">
                  <c:v>1.2999999999999999E-4</c:v>
                </c:pt>
                <c:pt idx="964">
                  <c:v>1.2999999999999999E-4</c:v>
                </c:pt>
                <c:pt idx="965">
                  <c:v>1.2999999999999999E-4</c:v>
                </c:pt>
                <c:pt idx="966">
                  <c:v>1.2999999999999999E-4</c:v>
                </c:pt>
                <c:pt idx="967">
                  <c:v>1.2999999999999999E-4</c:v>
                </c:pt>
                <c:pt idx="968">
                  <c:v>1.2999999999999999E-4</c:v>
                </c:pt>
                <c:pt idx="969">
                  <c:v>1.2999999999999999E-4</c:v>
                </c:pt>
                <c:pt idx="970">
                  <c:v>1.2999999999999999E-4</c:v>
                </c:pt>
                <c:pt idx="971">
                  <c:v>1.2999999999999999E-4</c:v>
                </c:pt>
                <c:pt idx="972">
                  <c:v>1.2E-4</c:v>
                </c:pt>
                <c:pt idx="973">
                  <c:v>1.2E-4</c:v>
                </c:pt>
                <c:pt idx="974">
                  <c:v>1.2E-4</c:v>
                </c:pt>
                <c:pt idx="975">
                  <c:v>1.2E-4</c:v>
                </c:pt>
                <c:pt idx="976">
                  <c:v>1.2E-4</c:v>
                </c:pt>
                <c:pt idx="977">
                  <c:v>1.2E-4</c:v>
                </c:pt>
                <c:pt idx="978">
                  <c:v>1.2E-4</c:v>
                </c:pt>
                <c:pt idx="979">
                  <c:v>1.2E-4</c:v>
                </c:pt>
                <c:pt idx="980">
                  <c:v>1.2E-4</c:v>
                </c:pt>
                <c:pt idx="981">
                  <c:v>1.2E-4</c:v>
                </c:pt>
                <c:pt idx="982">
                  <c:v>1.2E-4</c:v>
                </c:pt>
                <c:pt idx="983">
                  <c:v>1.2E-4</c:v>
                </c:pt>
                <c:pt idx="984">
                  <c:v>1.1E-4</c:v>
                </c:pt>
                <c:pt idx="985">
                  <c:v>1.1E-4</c:v>
                </c:pt>
                <c:pt idx="986">
                  <c:v>1.1E-4</c:v>
                </c:pt>
                <c:pt idx="987">
                  <c:v>1.1E-4</c:v>
                </c:pt>
                <c:pt idx="988">
                  <c:v>1.1E-4</c:v>
                </c:pt>
                <c:pt idx="989">
                  <c:v>1.1E-4</c:v>
                </c:pt>
                <c:pt idx="990">
                  <c:v>1.1E-4</c:v>
                </c:pt>
                <c:pt idx="991">
                  <c:v>1.1E-4</c:v>
                </c:pt>
                <c:pt idx="992">
                  <c:v>1.1E-4</c:v>
                </c:pt>
                <c:pt idx="993">
                  <c:v>1.1E-4</c:v>
                </c:pt>
                <c:pt idx="994">
                  <c:v>1.1E-4</c:v>
                </c:pt>
                <c:pt idx="995">
                  <c:v>1.1E-4</c:v>
                </c:pt>
                <c:pt idx="996">
                  <c:v>1.1E-4</c:v>
                </c:pt>
                <c:pt idx="997">
                  <c:v>1.1E-4</c:v>
                </c:pt>
                <c:pt idx="998">
                  <c:v>1.1E-4</c:v>
                </c:pt>
                <c:pt idx="999">
                  <c:v>1E-4</c:v>
                </c:pt>
                <c:pt idx="1000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C6-3948-A0BA-FE368CBC7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388448"/>
        <c:axId val="288391504"/>
      </c:scatterChart>
      <c:valAx>
        <c:axId val="288388448"/>
        <c:scaling>
          <c:orientation val="minMax"/>
          <c:max val="340"/>
          <c:min val="1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Wavelength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391504"/>
        <c:crosses val="autoZero"/>
        <c:crossBetween val="midCat"/>
      </c:valAx>
      <c:valAx>
        <c:axId val="28839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388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'Jitter vs. f#'!$E$1</c:f>
              <c:strCache>
                <c:ptCount val="1"/>
                <c:pt idx="0">
                  <c:v>f#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'Jitter vs. f#'!$A$2:$A$16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'Jitter vs. f#'!$E$2:$E$16</c:f>
              <c:numCache>
                <c:formatCode>General</c:formatCode>
                <c:ptCount val="15"/>
                <c:pt idx="0">
                  <c:v>20.945689582308027</c:v>
                </c:pt>
                <c:pt idx="1">
                  <c:v>12.396193928854432</c:v>
                </c:pt>
                <c:pt idx="2">
                  <c:v>8.5892196904334472</c:v>
                </c:pt>
                <c:pt idx="3">
                  <c:v>6.5343025564939197</c:v>
                </c:pt>
                <c:pt idx="4">
                  <c:v>5.2627458268916332</c:v>
                </c:pt>
                <c:pt idx="5">
                  <c:v>4.4018546023716656</c:v>
                </c:pt>
                <c:pt idx="6">
                  <c:v>3.7814830148624927</c:v>
                </c:pt>
                <c:pt idx="7">
                  <c:v>3.3136316246002164</c:v>
                </c:pt>
                <c:pt idx="8">
                  <c:v>2.9484071630288926</c:v>
                </c:pt>
                <c:pt idx="9">
                  <c:v>2.6554748736176443</c:v>
                </c:pt>
                <c:pt idx="10">
                  <c:v>2.4153541336364879</c:v>
                </c:pt>
                <c:pt idx="11">
                  <c:v>2.214972531001115</c:v>
                </c:pt>
                <c:pt idx="12">
                  <c:v>2.0452357581689928</c:v>
                </c:pt>
                <c:pt idx="13">
                  <c:v>1.8996236631834205</c:v>
                </c:pt>
                <c:pt idx="14">
                  <c:v>1.7733408716552921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B-144C-B59C-95661DDD3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312352"/>
        <c:axId val="481316768"/>
      </c:scatterChart>
      <c:valAx>
        <c:axId val="48131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Jitter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6768"/>
        <c:crosses val="autoZero"/>
        <c:crossBetween val="midCat"/>
      </c:valAx>
      <c:valAx>
        <c:axId val="48131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f#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19209</xdr:colOff>
      <xdr:row>148</xdr:row>
      <xdr:rowOff>154534</xdr:rowOff>
    </xdr:from>
    <xdr:to>
      <xdr:col>5</xdr:col>
      <xdr:colOff>981847</xdr:colOff>
      <xdr:row>168</xdr:row>
      <xdr:rowOff>192101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0D6AD5-CF23-604B-906C-12DD9A7D0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184</xdr:row>
      <xdr:rowOff>0</xdr:rowOff>
    </xdr:from>
    <xdr:to>
      <xdr:col>5</xdr:col>
      <xdr:colOff>962638</xdr:colOff>
      <xdr:row>204</xdr:row>
      <xdr:rowOff>37567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55993D-4B21-4048-BBB2-D1F5739BD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207</xdr:row>
      <xdr:rowOff>0</xdr:rowOff>
    </xdr:from>
    <xdr:to>
      <xdr:col>5</xdr:col>
      <xdr:colOff>962638</xdr:colOff>
      <xdr:row>227</xdr:row>
      <xdr:rowOff>37567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64976E4-6DC7-6545-8B11-EBF79C223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812800</xdr:colOff>
      <xdr:row>2</xdr:row>
      <xdr:rowOff>57150</xdr:rowOff>
    </xdr:from>
    <xdr:to>
      <xdr:col>14</xdr:col>
      <xdr:colOff>279400</xdr:colOff>
      <xdr:row>26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4393E1-D93E-1E48-AD29-11E01E7FC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31</xdr:row>
      <xdr:rowOff>0</xdr:rowOff>
    </xdr:from>
    <xdr:to>
      <xdr:col>15</xdr:col>
      <xdr:colOff>292100</xdr:colOff>
      <xdr:row>55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38AD42-F4F0-C049-8985-AA547D4DD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88900</xdr:colOff>
      <xdr:row>3</xdr:row>
      <xdr:rowOff>196850</xdr:rowOff>
    </xdr:from>
    <xdr:to>
      <xdr:col>17</xdr:col>
      <xdr:colOff>673100</xdr:colOff>
      <xdr:row>42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4C0348-039E-2445-9D37-6009DA2AC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1</xdr:row>
      <xdr:rowOff>25400</xdr:rowOff>
    </xdr:from>
    <xdr:to>
      <xdr:col>17</xdr:col>
      <xdr:colOff>215900</xdr:colOff>
      <xdr:row>31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EDF957-2007-2247-842D-0D8DC7A2E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431800</xdr:colOff>
      <xdr:row>3</xdr:row>
      <xdr:rowOff>31750</xdr:rowOff>
    </xdr:from>
    <xdr:to>
      <xdr:col>15</xdr:col>
      <xdr:colOff>533400</xdr:colOff>
      <xdr:row>25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8FE83E-752D-6D4E-8629-F35596527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127000</xdr:colOff>
      <xdr:row>5</xdr:row>
      <xdr:rowOff>44450</xdr:rowOff>
    </xdr:from>
    <xdr:to>
      <xdr:col>14</xdr:col>
      <xdr:colOff>812800</xdr:colOff>
      <xdr:row>28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CE1CFA-E338-3945-8220-2C63BA8C4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://cds.u-strasbg.fr/cgi-bin/Dic-Simbad?GJ%20338" TargetMode="External"/><Relationship Id="rId1" Type="http://schemas.openxmlformats.org/officeDocument/2006/relationships/hyperlink" Target="http://cds.u-strasbg.fr/cgi-bin/Dic-Simbad?GJ%2033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cds.u-strasbg.fr/cgi-bin/Dic-Simbad?GJ%20338" TargetMode="External"/><Relationship Id="rId1" Type="http://schemas.openxmlformats.org/officeDocument/2006/relationships/hyperlink" Target="http://cds.u-strasbg.fr/cgi-bin/Dic-Simbad?GJ%20338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cds.u-strasbg.fr/cgi-bin/Dic-Simbad?GJ%20338" TargetMode="External"/><Relationship Id="rId2" Type="http://schemas.openxmlformats.org/officeDocument/2006/relationships/hyperlink" Target="http://cds.u-strasbg.fr/cgi-bin/Dic-Simbad?GJ%20338" TargetMode="External"/><Relationship Id="rId1" Type="http://schemas.openxmlformats.org/officeDocument/2006/relationships/hyperlink" Target="http://cds.u-strasbg.fr/cgi-bin/Dic-Simbad?GJ%20338" TargetMode="External"/><Relationship Id="rId4" Type="http://schemas.openxmlformats.org/officeDocument/2006/relationships/hyperlink" Target="http://cds.u-strasbg.fr/cgi-bin/Dic-Simbad?GJ%20338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D11"/>
  <sheetViews>
    <sheetView workbookViewId="0">
      <selection activeCell="A12" sqref="A12"/>
    </sheetView>
  </sheetViews>
  <sheetFormatPr baseColWidth="10" defaultRowHeight="16" x14ac:dyDescent="0.2"/>
  <sheetData>
    <row r="2" spans="1:4" x14ac:dyDescent="0.2">
      <c r="A2" s="74" t="s">
        <v>219</v>
      </c>
      <c r="B2" s="74" t="s">
        <v>220</v>
      </c>
      <c r="C2" s="74" t="s">
        <v>221</v>
      </c>
      <c r="D2" s="74" t="s">
        <v>223</v>
      </c>
    </row>
    <row r="3" spans="1:4" x14ac:dyDescent="0.2">
      <c r="A3" s="73">
        <v>4</v>
      </c>
      <c r="B3" s="75">
        <v>43141</v>
      </c>
      <c r="C3" s="73" t="s">
        <v>222</v>
      </c>
      <c r="D3" s="73" t="s">
        <v>224</v>
      </c>
    </row>
    <row r="4" spans="1:4" x14ac:dyDescent="0.2">
      <c r="D4" t="s">
        <v>957</v>
      </c>
    </row>
    <row r="5" spans="1:4" x14ac:dyDescent="0.2">
      <c r="D5" t="s">
        <v>973</v>
      </c>
    </row>
    <row r="6" spans="1:4" x14ac:dyDescent="0.2">
      <c r="A6" s="73">
        <v>9</v>
      </c>
      <c r="B6" s="75">
        <v>43304</v>
      </c>
      <c r="C6" t="s">
        <v>222</v>
      </c>
      <c r="D6" t="s">
        <v>1121</v>
      </c>
    </row>
    <row r="7" spans="1:4" x14ac:dyDescent="0.2">
      <c r="D7" t="s">
        <v>1122</v>
      </c>
    </row>
    <row r="8" spans="1:4" x14ac:dyDescent="0.2">
      <c r="D8" t="s">
        <v>1137</v>
      </c>
    </row>
    <row r="9" spans="1:4" x14ac:dyDescent="0.2">
      <c r="A9" s="74"/>
      <c r="D9" t="s">
        <v>1138</v>
      </c>
    </row>
    <row r="10" spans="1:4" x14ac:dyDescent="0.2">
      <c r="D10" t="s">
        <v>1159</v>
      </c>
    </row>
    <row r="11" spans="1:4" x14ac:dyDescent="0.2">
      <c r="A11">
        <v>10</v>
      </c>
      <c r="B11" s="169">
        <v>43386</v>
      </c>
      <c r="C11" t="s">
        <v>222</v>
      </c>
      <c r="D11" t="s">
        <v>1161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D755-2924-144B-A4B2-A0A02B4789FA}">
  <dimension ref="A1:G32"/>
  <sheetViews>
    <sheetView workbookViewId="0">
      <selection activeCell="D21" sqref="D21:D24"/>
    </sheetView>
  </sheetViews>
  <sheetFormatPr baseColWidth="10" defaultRowHeight="16" x14ac:dyDescent="0.2"/>
  <cols>
    <col min="1" max="1" width="44" customWidth="1"/>
    <col min="2" max="2" width="28.83203125" customWidth="1"/>
    <col min="3" max="3" width="29.5" style="4" customWidth="1"/>
    <col min="4" max="4" width="34.33203125" style="4" customWidth="1"/>
    <col min="5" max="5" width="28.5" style="4" customWidth="1"/>
    <col min="6" max="6" width="25.1640625" style="4" customWidth="1"/>
    <col min="7" max="7" width="29.33203125" customWidth="1"/>
  </cols>
  <sheetData>
    <row r="1" spans="1:7" s="36" customFormat="1" ht="49" thickBot="1" x14ac:dyDescent="0.25">
      <c r="A1" s="151" t="s">
        <v>1014</v>
      </c>
      <c r="B1" s="91" t="s">
        <v>1015</v>
      </c>
      <c r="C1" s="91" t="s">
        <v>1016</v>
      </c>
      <c r="D1" s="91" t="s">
        <v>1017</v>
      </c>
      <c r="E1" s="92" t="s">
        <v>1018</v>
      </c>
      <c r="F1" s="93" t="s">
        <v>1019</v>
      </c>
      <c r="G1" s="94" t="s">
        <v>223</v>
      </c>
    </row>
    <row r="2" spans="1:7" x14ac:dyDescent="0.2">
      <c r="A2" s="104" t="s">
        <v>1020</v>
      </c>
      <c r="B2" s="95" t="s">
        <v>1021</v>
      </c>
      <c r="C2" s="95" t="s">
        <v>1022</v>
      </c>
      <c r="D2" s="95" t="s">
        <v>1022</v>
      </c>
      <c r="E2" s="96">
        <v>0</v>
      </c>
      <c r="F2" s="97" t="s">
        <v>1023</v>
      </c>
      <c r="G2" s="98"/>
    </row>
    <row r="3" spans="1:7" x14ac:dyDescent="0.2">
      <c r="A3" s="104" t="s">
        <v>1024</v>
      </c>
      <c r="B3" s="95" t="s">
        <v>1025</v>
      </c>
      <c r="C3" s="95" t="s">
        <v>1026</v>
      </c>
      <c r="D3" s="95" t="s">
        <v>1026</v>
      </c>
      <c r="E3" s="96">
        <f>(710-630)/710</f>
        <v>0.11267605633802817</v>
      </c>
      <c r="F3" s="97" t="s">
        <v>1023</v>
      </c>
      <c r="G3" s="98" t="s">
        <v>1027</v>
      </c>
    </row>
    <row r="4" spans="1:7" ht="17" thickBot="1" x14ac:dyDescent="0.25">
      <c r="A4" s="104" t="s">
        <v>1028</v>
      </c>
      <c r="B4" s="95" t="s">
        <v>1128</v>
      </c>
      <c r="C4" s="95" t="s">
        <v>1129</v>
      </c>
      <c r="D4" s="95" t="s">
        <v>1130</v>
      </c>
      <c r="E4" s="96">
        <f>(6-4.4)/6</f>
        <v>0.26666666666666661</v>
      </c>
      <c r="F4" s="97" t="s">
        <v>1029</v>
      </c>
      <c r="G4" s="98"/>
    </row>
    <row r="5" spans="1:7" x14ac:dyDescent="0.2">
      <c r="A5" s="156" t="s">
        <v>1030</v>
      </c>
      <c r="B5" s="154" t="s">
        <v>1131</v>
      </c>
      <c r="C5" s="154" t="s">
        <v>1132</v>
      </c>
      <c r="D5" s="154" t="s">
        <v>1132</v>
      </c>
      <c r="E5" s="157">
        <f>0</f>
        <v>0</v>
      </c>
      <c r="F5" s="158" t="s">
        <v>1031</v>
      </c>
      <c r="G5" s="159" t="s">
        <v>1032</v>
      </c>
    </row>
    <row r="6" spans="1:7" x14ac:dyDescent="0.2">
      <c r="A6" s="104" t="s">
        <v>1033</v>
      </c>
      <c r="B6" s="95" t="s">
        <v>1034</v>
      </c>
      <c r="C6" s="95" t="s">
        <v>1035</v>
      </c>
      <c r="D6" s="95" t="s">
        <v>1036</v>
      </c>
      <c r="E6" s="96">
        <f>(0.2-0.1)/0.2</f>
        <v>0.5</v>
      </c>
      <c r="F6" s="97" t="s">
        <v>1037</v>
      </c>
      <c r="G6" s="100" t="s">
        <v>1038</v>
      </c>
    </row>
    <row r="7" spans="1:7" x14ac:dyDescent="0.2">
      <c r="A7" s="104" t="s">
        <v>1039</v>
      </c>
      <c r="B7" s="95" t="s">
        <v>1040</v>
      </c>
      <c r="C7" s="95">
        <v>5.0000000000000001E-3</v>
      </c>
      <c r="D7" s="95">
        <v>0.01</v>
      </c>
      <c r="E7" s="96">
        <f>(0.01-0.005)/0.01</f>
        <v>0.5</v>
      </c>
      <c r="F7" s="97" t="s">
        <v>1041</v>
      </c>
      <c r="G7" s="98"/>
    </row>
    <row r="8" spans="1:7" x14ac:dyDescent="0.2">
      <c r="A8" s="104" t="s">
        <v>1042</v>
      </c>
      <c r="B8" s="95" t="s">
        <v>1134</v>
      </c>
      <c r="C8" s="95" t="s">
        <v>1133</v>
      </c>
      <c r="D8" s="95" t="s">
        <v>1133</v>
      </c>
      <c r="E8" s="96">
        <f>(7.1-5.1)/5.1</f>
        <v>0.39215686274509809</v>
      </c>
      <c r="F8" s="97"/>
      <c r="G8" s="98"/>
    </row>
    <row r="9" spans="1:7" x14ac:dyDescent="0.2">
      <c r="A9" s="152" t="s">
        <v>1043</v>
      </c>
      <c r="B9" s="95" t="s">
        <v>1135</v>
      </c>
      <c r="C9" s="95" t="s">
        <v>1136</v>
      </c>
      <c r="D9" s="95" t="s">
        <v>1136</v>
      </c>
      <c r="E9" s="96">
        <f>(51.3-37.6)/51.3</f>
        <v>0.26705653021442488</v>
      </c>
      <c r="F9" s="97" t="s">
        <v>1023</v>
      </c>
      <c r="G9" s="98"/>
    </row>
    <row r="10" spans="1:7" x14ac:dyDescent="0.2">
      <c r="A10" s="152" t="s">
        <v>1044</v>
      </c>
      <c r="B10" s="95" t="s">
        <v>1045</v>
      </c>
      <c r="C10" s="95" t="s">
        <v>1045</v>
      </c>
      <c r="D10" s="95" t="s">
        <v>1045</v>
      </c>
      <c r="E10" s="96">
        <v>0</v>
      </c>
      <c r="F10" s="97" t="s">
        <v>1031</v>
      </c>
      <c r="G10" s="98"/>
    </row>
    <row r="11" spans="1:7" x14ac:dyDescent="0.2">
      <c r="A11" s="104" t="s">
        <v>1046</v>
      </c>
      <c r="B11" s="95" t="s">
        <v>1047</v>
      </c>
      <c r="C11" s="99">
        <v>0.76</v>
      </c>
      <c r="D11" s="99">
        <v>0.67</v>
      </c>
      <c r="E11" s="96">
        <f>(76-67)/67</f>
        <v>0.13432835820895522</v>
      </c>
      <c r="F11" s="97" t="s">
        <v>1023</v>
      </c>
      <c r="G11" s="98"/>
    </row>
    <row r="12" spans="1:7" x14ac:dyDescent="0.2">
      <c r="A12" s="104" t="s">
        <v>1048</v>
      </c>
      <c r="B12" s="95"/>
      <c r="C12" s="99"/>
      <c r="D12" s="99"/>
      <c r="E12" s="96"/>
      <c r="F12" s="97"/>
      <c r="G12" s="98"/>
    </row>
    <row r="13" spans="1:7" x14ac:dyDescent="0.2">
      <c r="A13" s="152" t="s">
        <v>1049</v>
      </c>
      <c r="B13" s="95" t="s">
        <v>1050</v>
      </c>
      <c r="C13" s="99" t="s">
        <v>1051</v>
      </c>
      <c r="D13" s="99" t="s">
        <v>1051</v>
      </c>
      <c r="E13" s="96">
        <f>5/162</f>
        <v>3.0864197530864196E-2</v>
      </c>
      <c r="F13" s="97" t="s">
        <v>1052</v>
      </c>
      <c r="G13" s="98"/>
    </row>
    <row r="14" spans="1:7" x14ac:dyDescent="0.2">
      <c r="A14" s="152" t="s">
        <v>1053</v>
      </c>
      <c r="B14" s="95" t="s">
        <v>1054</v>
      </c>
      <c r="C14" s="95" t="s">
        <v>1055</v>
      </c>
      <c r="D14" s="95" t="s">
        <v>1056</v>
      </c>
      <c r="E14" s="96">
        <f>(8-6.8)/6.8</f>
        <v>0.17647058823529416</v>
      </c>
      <c r="F14" s="97" t="s">
        <v>1052</v>
      </c>
      <c r="G14" s="98"/>
    </row>
    <row r="15" spans="1:7" x14ac:dyDescent="0.2">
      <c r="A15" s="152" t="s">
        <v>1057</v>
      </c>
      <c r="B15" s="95" t="s">
        <v>1058</v>
      </c>
      <c r="C15" s="95" t="s">
        <v>1058</v>
      </c>
      <c r="D15" s="95" t="s">
        <v>1059</v>
      </c>
      <c r="E15" s="99" t="s">
        <v>1060</v>
      </c>
      <c r="F15" s="97" t="s">
        <v>1052</v>
      </c>
      <c r="G15" s="98"/>
    </row>
    <row r="16" spans="1:7" x14ac:dyDescent="0.2">
      <c r="A16" s="153" t="s">
        <v>1061</v>
      </c>
      <c r="B16" s="95"/>
      <c r="C16" s="95"/>
      <c r="D16" s="95"/>
      <c r="E16" s="96"/>
      <c r="F16" s="97"/>
      <c r="G16" s="98"/>
    </row>
    <row r="17" spans="1:7" x14ac:dyDescent="0.2">
      <c r="A17" s="152" t="s">
        <v>1062</v>
      </c>
      <c r="B17" s="95" t="s">
        <v>1063</v>
      </c>
      <c r="C17" s="95" t="s">
        <v>1064</v>
      </c>
      <c r="D17" s="95" t="s">
        <v>1064</v>
      </c>
      <c r="E17" s="96">
        <f>5/280</f>
        <v>1.7857142857142856E-2</v>
      </c>
      <c r="F17" s="97" t="s">
        <v>1065</v>
      </c>
      <c r="G17" s="98"/>
    </row>
    <row r="18" spans="1:7" x14ac:dyDescent="0.2">
      <c r="A18" s="152" t="s">
        <v>1066</v>
      </c>
      <c r="B18" s="95" t="s">
        <v>1067</v>
      </c>
      <c r="C18" s="95" t="s">
        <v>1068</v>
      </c>
      <c r="D18" s="95" t="s">
        <v>1069</v>
      </c>
      <c r="E18" s="99">
        <f>(13-11.1)/11.1</f>
        <v>0.1711711711711712</v>
      </c>
      <c r="F18" s="97" t="s">
        <v>1070</v>
      </c>
      <c r="G18" s="98"/>
    </row>
    <row r="19" spans="1:7" x14ac:dyDescent="0.2">
      <c r="A19" s="152" t="s">
        <v>1071</v>
      </c>
      <c r="B19" s="95" t="s">
        <v>1072</v>
      </c>
      <c r="C19" s="95" t="s">
        <v>1072</v>
      </c>
      <c r="D19" s="95" t="s">
        <v>1059</v>
      </c>
      <c r="E19" s="99" t="s">
        <v>1060</v>
      </c>
      <c r="F19" s="97" t="s">
        <v>1070</v>
      </c>
      <c r="G19" s="98"/>
    </row>
    <row r="20" spans="1:7" x14ac:dyDescent="0.2">
      <c r="A20" s="104" t="s">
        <v>1073</v>
      </c>
      <c r="B20" s="101"/>
      <c r="C20" s="95"/>
      <c r="D20" s="95"/>
      <c r="E20" s="95"/>
      <c r="F20" s="97"/>
      <c r="G20" s="98"/>
    </row>
    <row r="21" spans="1:7" x14ac:dyDescent="0.2">
      <c r="A21" s="152" t="s">
        <v>1074</v>
      </c>
      <c r="B21" s="96" t="s">
        <v>1150</v>
      </c>
      <c r="C21" s="96" t="s">
        <v>1150</v>
      </c>
      <c r="D21" s="96">
        <v>5.0000000000000001E-4</v>
      </c>
      <c r="E21" s="95" t="s">
        <v>1060</v>
      </c>
      <c r="F21" s="97" t="s">
        <v>1052</v>
      </c>
      <c r="G21" s="98" t="s">
        <v>1075</v>
      </c>
    </row>
    <row r="22" spans="1:7" x14ac:dyDescent="0.2">
      <c r="A22" s="152" t="s">
        <v>1076</v>
      </c>
      <c r="B22" s="95" t="s">
        <v>1077</v>
      </c>
      <c r="C22" s="95" t="s">
        <v>1077</v>
      </c>
      <c r="D22" s="96">
        <v>2.2000000000000001E-3</v>
      </c>
      <c r="E22" s="95" t="s">
        <v>1060</v>
      </c>
      <c r="F22" s="97" t="s">
        <v>1052</v>
      </c>
      <c r="G22" s="98" t="s">
        <v>1075</v>
      </c>
    </row>
    <row r="23" spans="1:7" x14ac:dyDescent="0.2">
      <c r="A23" s="152" t="s">
        <v>1078</v>
      </c>
      <c r="B23" s="95" t="s">
        <v>1151</v>
      </c>
      <c r="C23" s="95" t="s">
        <v>1151</v>
      </c>
      <c r="D23" s="96">
        <v>1.2999999999999999E-2</v>
      </c>
      <c r="E23" s="95" t="s">
        <v>1060</v>
      </c>
      <c r="F23" s="97" t="s">
        <v>1052</v>
      </c>
      <c r="G23" s="98" t="s">
        <v>1075</v>
      </c>
    </row>
    <row r="24" spans="1:7" x14ac:dyDescent="0.2">
      <c r="A24" s="152" t="s">
        <v>1079</v>
      </c>
      <c r="B24" s="95" t="s">
        <v>1080</v>
      </c>
      <c r="C24" s="95" t="s">
        <v>1080</v>
      </c>
      <c r="D24" s="96">
        <v>4.0000000000000001E-3</v>
      </c>
      <c r="E24" s="95" t="s">
        <v>1060</v>
      </c>
      <c r="F24" s="97" t="s">
        <v>1070</v>
      </c>
      <c r="G24" s="98" t="s">
        <v>1081</v>
      </c>
    </row>
    <row r="25" spans="1:7" x14ac:dyDescent="0.2">
      <c r="A25" s="153" t="s">
        <v>1082</v>
      </c>
      <c r="B25" s="101"/>
      <c r="C25" s="95"/>
      <c r="D25" s="95"/>
      <c r="E25" s="95"/>
      <c r="F25" s="97"/>
      <c r="G25" s="98"/>
    </row>
    <row r="26" spans="1:7" x14ac:dyDescent="0.2">
      <c r="A26" s="152" t="s">
        <v>1064</v>
      </c>
      <c r="B26" s="95" t="s">
        <v>1083</v>
      </c>
      <c r="C26" s="95" t="s">
        <v>1083</v>
      </c>
      <c r="D26" s="95" t="s">
        <v>1084</v>
      </c>
      <c r="E26" s="95" t="s">
        <v>1060</v>
      </c>
      <c r="F26" s="97" t="s">
        <v>1085</v>
      </c>
      <c r="G26" s="98" t="s">
        <v>1086</v>
      </c>
    </row>
    <row r="27" spans="1:7" x14ac:dyDescent="0.2">
      <c r="A27" s="152" t="s">
        <v>1087</v>
      </c>
      <c r="B27" s="95" t="s">
        <v>1088</v>
      </c>
      <c r="C27" s="95" t="s">
        <v>1088</v>
      </c>
      <c r="D27" s="95" t="s">
        <v>1089</v>
      </c>
      <c r="E27" s="95" t="s">
        <v>1060</v>
      </c>
      <c r="F27" s="97" t="s">
        <v>1085</v>
      </c>
      <c r="G27" s="98" t="s">
        <v>1086</v>
      </c>
    </row>
    <row r="28" spans="1:7" x14ac:dyDescent="0.2">
      <c r="A28" s="160" t="s">
        <v>1139</v>
      </c>
      <c r="B28" s="101"/>
      <c r="C28" s="95"/>
      <c r="D28" s="95"/>
      <c r="E28" s="95"/>
      <c r="F28" s="95"/>
      <c r="G28" s="148"/>
    </row>
    <row r="29" spans="1:7" x14ac:dyDescent="0.2">
      <c r="A29" s="147" t="s">
        <v>1140</v>
      </c>
      <c r="B29" s="95">
        <v>0.9</v>
      </c>
      <c r="C29" s="95">
        <v>0.9</v>
      </c>
      <c r="D29" s="95">
        <v>0.9</v>
      </c>
      <c r="E29" s="99">
        <v>0</v>
      </c>
      <c r="F29" s="95" t="s">
        <v>1144</v>
      </c>
      <c r="G29" s="148"/>
    </row>
    <row r="30" spans="1:7" x14ac:dyDescent="0.2">
      <c r="A30" s="147" t="s">
        <v>1141</v>
      </c>
      <c r="B30" s="95">
        <v>0.05</v>
      </c>
      <c r="C30" s="95">
        <v>0.05</v>
      </c>
      <c r="D30" s="95">
        <v>0.05</v>
      </c>
      <c r="E30" s="99">
        <v>0</v>
      </c>
      <c r="F30" s="95" t="s">
        <v>1144</v>
      </c>
      <c r="G30" s="148"/>
    </row>
    <row r="31" spans="1:7" x14ac:dyDescent="0.2">
      <c r="A31" s="147" t="s">
        <v>1142</v>
      </c>
      <c r="B31" s="95">
        <v>0.6</v>
      </c>
      <c r="C31" s="95">
        <v>0.6</v>
      </c>
      <c r="D31" s="95">
        <v>0.6</v>
      </c>
      <c r="E31" s="99">
        <v>0</v>
      </c>
      <c r="F31" s="95" t="s">
        <v>1144</v>
      </c>
      <c r="G31" s="148"/>
    </row>
    <row r="32" spans="1:7" ht="17" thickBot="1" x14ac:dyDescent="0.25">
      <c r="A32" s="149" t="s">
        <v>1143</v>
      </c>
      <c r="B32" s="102">
        <v>0.1</v>
      </c>
      <c r="C32" s="102">
        <v>0.1</v>
      </c>
      <c r="D32" s="102">
        <v>0.1</v>
      </c>
      <c r="E32" s="155">
        <v>0</v>
      </c>
      <c r="F32" s="102" t="s">
        <v>1144</v>
      </c>
      <c r="G32" s="15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181"/>
  <sheetViews>
    <sheetView tabSelected="1" topLeftCell="A55" zoomScale="95" zoomScaleNormal="95" workbookViewId="0">
      <selection activeCell="B74" sqref="B74:B77"/>
    </sheetView>
  </sheetViews>
  <sheetFormatPr baseColWidth="10" defaultColWidth="33.1640625" defaultRowHeight="16" x14ac:dyDescent="0.2"/>
  <cols>
    <col min="1" max="1" width="61.83203125" customWidth="1"/>
    <col min="2" max="2" width="23.6640625" customWidth="1"/>
    <col min="3" max="3" width="26.5" customWidth="1"/>
    <col min="4" max="4" width="36.83203125" customWidth="1"/>
    <col min="5" max="6" width="35.1640625" style="4" customWidth="1"/>
    <col min="7" max="7" width="24.83203125" customWidth="1"/>
    <col min="8" max="8" width="29.83203125" customWidth="1"/>
    <col min="9" max="9" width="22.33203125" customWidth="1"/>
    <col min="10" max="12" width="14.83203125" style="4" customWidth="1"/>
    <col min="13" max="13" width="25.33203125" customWidth="1"/>
    <col min="14" max="14" width="27.83203125" customWidth="1"/>
    <col min="15" max="15" width="16.83203125" customWidth="1"/>
    <col min="16" max="16" width="21.33203125" customWidth="1"/>
    <col min="17" max="17" width="16.6640625" customWidth="1"/>
    <col min="18" max="19" width="19.83203125" customWidth="1"/>
    <col min="20" max="20" width="21.83203125" customWidth="1"/>
    <col min="21" max="21" width="15.1640625" customWidth="1"/>
    <col min="22" max="22" width="23" customWidth="1"/>
    <col min="23" max="23" width="14.6640625" customWidth="1"/>
    <col min="24" max="24" width="15.6640625" customWidth="1"/>
    <col min="25" max="25" width="15.1640625" customWidth="1"/>
  </cols>
  <sheetData>
    <row r="1" spans="1:12" x14ac:dyDescent="0.2">
      <c r="A1" s="22" t="s">
        <v>64</v>
      </c>
      <c r="D1" s="11"/>
      <c r="E1" s="32"/>
      <c r="F1" s="32"/>
      <c r="G1" s="1" t="s">
        <v>66</v>
      </c>
      <c r="H1" s="1"/>
      <c r="J1"/>
      <c r="K1"/>
      <c r="L1"/>
    </row>
    <row r="2" spans="1:12" x14ac:dyDescent="0.2">
      <c r="A2" s="34" t="s">
        <v>90</v>
      </c>
      <c r="D2" s="11"/>
      <c r="E2" s="32"/>
      <c r="F2" s="32"/>
      <c r="G2" s="1"/>
      <c r="H2" s="1"/>
      <c r="J2"/>
      <c r="K2"/>
      <c r="L2"/>
    </row>
    <row r="3" spans="1:12" x14ac:dyDescent="0.2">
      <c r="A3" s="31" t="s">
        <v>91</v>
      </c>
      <c r="B3" s="8">
        <v>6.6259999999999998E-34</v>
      </c>
      <c r="C3" t="s">
        <v>92</v>
      </c>
      <c r="D3" s="11"/>
      <c r="E3" s="32"/>
      <c r="F3" s="32"/>
      <c r="G3" s="1"/>
      <c r="H3" s="1"/>
      <c r="J3"/>
      <c r="K3"/>
      <c r="L3"/>
    </row>
    <row r="4" spans="1:12" x14ac:dyDescent="0.2">
      <c r="A4" s="31" t="s">
        <v>93</v>
      </c>
      <c r="B4" s="8">
        <v>300000000</v>
      </c>
      <c r="C4" t="s">
        <v>94</v>
      </c>
      <c r="D4" s="11"/>
      <c r="E4" s="32"/>
      <c r="F4" s="32"/>
      <c r="G4" s="1"/>
      <c r="H4" s="1"/>
      <c r="J4"/>
      <c r="K4"/>
      <c r="L4"/>
    </row>
    <row r="5" spans="1:12" x14ac:dyDescent="0.2">
      <c r="A5" s="20" t="s">
        <v>977</v>
      </c>
      <c r="D5" s="11"/>
      <c r="E5" s="32"/>
      <c r="F5" s="32"/>
      <c r="H5" s="1"/>
      <c r="J5"/>
      <c r="K5"/>
      <c r="L5"/>
    </row>
    <row r="6" spans="1:12" ht="64" x14ac:dyDescent="0.2">
      <c r="A6" s="14" t="s">
        <v>57</v>
      </c>
      <c r="B6" s="15">
        <v>4.0000000000000003E-18</v>
      </c>
      <c r="C6" s="13" t="s">
        <v>967</v>
      </c>
      <c r="D6" s="48" t="s">
        <v>986</v>
      </c>
      <c r="F6" s="15">
        <v>1E-3</v>
      </c>
      <c r="G6" s="13" t="s">
        <v>22</v>
      </c>
      <c r="H6" s="11" t="s">
        <v>23</v>
      </c>
      <c r="J6"/>
      <c r="K6"/>
      <c r="L6"/>
    </row>
    <row r="7" spans="1:12" x14ac:dyDescent="0.2">
      <c r="A7" s="14" t="s">
        <v>58</v>
      </c>
      <c r="B7" s="15">
        <v>4.9999999999999995E-22</v>
      </c>
      <c r="C7" s="13" t="s">
        <v>967</v>
      </c>
      <c r="D7" s="48" t="s">
        <v>986</v>
      </c>
      <c r="E7" s="32"/>
      <c r="F7" s="32"/>
      <c r="J7"/>
      <c r="K7"/>
      <c r="L7"/>
    </row>
    <row r="8" spans="1:12" x14ac:dyDescent="0.2">
      <c r="A8" s="14" t="s">
        <v>987</v>
      </c>
      <c r="B8" s="15">
        <v>5.9999999999999997E-13</v>
      </c>
      <c r="C8" s="13" t="s">
        <v>115</v>
      </c>
      <c r="D8" s="48"/>
      <c r="E8" s="86">
        <f>B8*B9</f>
        <v>2.9999999999999999E-16</v>
      </c>
      <c r="F8" s="32"/>
      <c r="J8"/>
      <c r="K8"/>
      <c r="L8"/>
    </row>
    <row r="9" spans="1:12" x14ac:dyDescent="0.2">
      <c r="A9" s="14" t="s">
        <v>988</v>
      </c>
      <c r="B9" s="15">
        <v>5.0000000000000001E-4</v>
      </c>
      <c r="C9" s="13"/>
      <c r="D9" s="48" t="s">
        <v>1120</v>
      </c>
      <c r="E9" s="86"/>
      <c r="F9" s="32"/>
      <c r="J9"/>
      <c r="K9"/>
      <c r="L9"/>
    </row>
    <row r="10" spans="1:12" x14ac:dyDescent="0.2">
      <c r="A10" s="14" t="s">
        <v>989</v>
      </c>
      <c r="B10" s="15">
        <v>5.9999999999999997E-14</v>
      </c>
      <c r="C10" s="13" t="s">
        <v>115</v>
      </c>
      <c r="D10" s="48"/>
      <c r="E10" s="86">
        <f>B10*B11</f>
        <v>1.32E-16</v>
      </c>
      <c r="F10" s="32"/>
      <c r="J10"/>
      <c r="K10"/>
      <c r="L10"/>
    </row>
    <row r="11" spans="1:12" x14ac:dyDescent="0.2">
      <c r="A11" s="14" t="s">
        <v>990</v>
      </c>
      <c r="B11" s="15">
        <v>2.2000000000000001E-3</v>
      </c>
      <c r="C11" s="13"/>
      <c r="D11" s="48" t="s">
        <v>1120</v>
      </c>
      <c r="E11" s="86"/>
      <c r="F11" s="32"/>
      <c r="J11"/>
      <c r="K11"/>
      <c r="L11"/>
    </row>
    <row r="12" spans="1:12" x14ac:dyDescent="0.2">
      <c r="A12" s="14" t="s">
        <v>991</v>
      </c>
      <c r="B12" s="15">
        <v>5.9999999999999997E-15</v>
      </c>
      <c r="C12" s="13" t="s">
        <v>115</v>
      </c>
      <c r="D12" s="48"/>
      <c r="E12" s="86">
        <f>B12*B13</f>
        <v>7.5599999999999998E-17</v>
      </c>
      <c r="F12" s="32"/>
      <c r="J12"/>
      <c r="K12"/>
      <c r="L12"/>
    </row>
    <row r="13" spans="1:12" x14ac:dyDescent="0.2">
      <c r="A13" s="14" t="s">
        <v>990</v>
      </c>
      <c r="B13" s="15">
        <v>1.26E-2</v>
      </c>
      <c r="C13" s="13"/>
      <c r="D13" s="48" t="s">
        <v>1120</v>
      </c>
      <c r="E13" s="32"/>
      <c r="F13" s="32"/>
      <c r="J13"/>
      <c r="K13"/>
      <c r="L13"/>
    </row>
    <row r="14" spans="1:12" x14ac:dyDescent="0.2">
      <c r="A14" s="14" t="s">
        <v>113</v>
      </c>
      <c r="B14" s="15">
        <v>7.0000000000000003E-16</v>
      </c>
      <c r="C14" s="13" t="s">
        <v>115</v>
      </c>
      <c r="D14" s="48" t="s">
        <v>986</v>
      </c>
      <c r="E14" s="86">
        <f>B14*B15</f>
        <v>2.8000000000000001E-18</v>
      </c>
      <c r="F14" s="32"/>
      <c r="J14"/>
      <c r="K14"/>
      <c r="L14"/>
    </row>
    <row r="15" spans="1:12" x14ac:dyDescent="0.2">
      <c r="A15" s="14" t="s">
        <v>992</v>
      </c>
      <c r="B15" s="15">
        <v>4.0000000000000001E-3</v>
      </c>
      <c r="C15" s="13"/>
      <c r="D15" s="11" t="s">
        <v>117</v>
      </c>
      <c r="E15" s="32"/>
      <c r="F15" s="32"/>
      <c r="J15"/>
      <c r="K15"/>
      <c r="L15"/>
    </row>
    <row r="16" spans="1:12" ht="96" x14ac:dyDescent="0.2">
      <c r="A16" s="14" t="s">
        <v>965</v>
      </c>
      <c r="B16" s="15">
        <v>0.01</v>
      </c>
      <c r="C16" s="13"/>
      <c r="D16" s="11" t="s">
        <v>119</v>
      </c>
      <c r="E16" s="32"/>
      <c r="F16" s="146" t="s">
        <v>1119</v>
      </c>
      <c r="J16"/>
      <c r="K16"/>
      <c r="L16"/>
    </row>
    <row r="17" spans="1:12" ht="32" x14ac:dyDescent="0.2">
      <c r="A17" s="14" t="s">
        <v>966</v>
      </c>
      <c r="B17" s="15">
        <v>0.2</v>
      </c>
      <c r="C17" s="13"/>
      <c r="D17" s="11" t="s">
        <v>119</v>
      </c>
      <c r="E17" s="30" t="s">
        <v>1013</v>
      </c>
      <c r="F17" s="32"/>
      <c r="J17"/>
      <c r="K17"/>
      <c r="L17"/>
    </row>
    <row r="18" spans="1:12" x14ac:dyDescent="0.2">
      <c r="A18" s="21" t="s">
        <v>60</v>
      </c>
      <c r="B18" s="15"/>
      <c r="C18" s="13"/>
      <c r="D18" s="11"/>
      <c r="E18" s="32"/>
      <c r="F18" s="32"/>
      <c r="J18"/>
      <c r="K18"/>
      <c r="L18"/>
    </row>
    <row r="19" spans="1:12" ht="19" x14ac:dyDescent="0.2">
      <c r="A19" s="58" t="s">
        <v>17</v>
      </c>
      <c r="B19" s="58">
        <f>SQRT(8.2^2+8^2)</f>
        <v>11.456002793295749</v>
      </c>
      <c r="C19" s="58" t="s">
        <v>18</v>
      </c>
      <c r="D19" s="11" t="s">
        <v>997</v>
      </c>
      <c r="E19" s="32"/>
      <c r="F19" s="32"/>
      <c r="G19" s="13"/>
      <c r="J19"/>
      <c r="K19"/>
      <c r="L19"/>
    </row>
    <row r="20" spans="1:12" x14ac:dyDescent="0.2">
      <c r="A20" s="13" t="s">
        <v>998</v>
      </c>
      <c r="B20" s="13">
        <v>1</v>
      </c>
      <c r="C20" s="13"/>
      <c r="D20" s="11" t="s">
        <v>999</v>
      </c>
      <c r="E20" s="32"/>
      <c r="F20" s="32"/>
      <c r="G20" s="13"/>
      <c r="J20"/>
      <c r="K20"/>
      <c r="L20"/>
    </row>
    <row r="21" spans="1:12" x14ac:dyDescent="0.2">
      <c r="A21" s="14" t="s">
        <v>186</v>
      </c>
      <c r="B21" s="13">
        <v>250</v>
      </c>
      <c r="C21" s="13" t="s">
        <v>24</v>
      </c>
      <c r="D21" s="11"/>
      <c r="E21" s="32"/>
      <c r="F21" s="32"/>
      <c r="G21" s="13"/>
      <c r="J21"/>
      <c r="K21"/>
      <c r="L21"/>
    </row>
    <row r="22" spans="1:12" x14ac:dyDescent="0.2">
      <c r="A22" s="14" t="s">
        <v>25</v>
      </c>
      <c r="B22" s="13">
        <v>293</v>
      </c>
      <c r="C22" s="13" t="s">
        <v>26</v>
      </c>
      <c r="D22" s="11"/>
      <c r="E22" s="32"/>
      <c r="F22" s="32"/>
      <c r="G22" s="13"/>
      <c r="H22" s="8"/>
      <c r="J22"/>
      <c r="K22"/>
      <c r="L22"/>
    </row>
    <row r="23" spans="1:12" x14ac:dyDescent="0.2">
      <c r="A23" s="14" t="s">
        <v>27</v>
      </c>
      <c r="B23" s="13">
        <v>238</v>
      </c>
      <c r="C23" s="13" t="s">
        <v>26</v>
      </c>
      <c r="D23" s="11"/>
      <c r="E23" s="32"/>
      <c r="F23" s="32"/>
      <c r="G23" s="13"/>
      <c r="J23"/>
      <c r="K23"/>
      <c r="L23"/>
    </row>
    <row r="24" spans="1:12" x14ac:dyDescent="0.2">
      <c r="A24" s="13" t="s">
        <v>49</v>
      </c>
      <c r="B24" s="16">
        <v>13</v>
      </c>
      <c r="C24" s="13" t="s">
        <v>50</v>
      </c>
      <c r="D24" s="11"/>
      <c r="E24" s="32"/>
      <c r="F24" s="32"/>
      <c r="G24" s="16"/>
      <c r="J24"/>
      <c r="K24"/>
      <c r="L24"/>
    </row>
    <row r="25" spans="1:12" ht="32" x14ac:dyDescent="0.2">
      <c r="A25" s="14" t="s">
        <v>173</v>
      </c>
      <c r="B25" s="13">
        <v>4.4000000000000004</v>
      </c>
      <c r="C25" s="13" t="s">
        <v>55</v>
      </c>
      <c r="D25" s="11" t="s">
        <v>67</v>
      </c>
      <c r="E25" s="32"/>
      <c r="F25" s="32"/>
      <c r="G25" s="13"/>
    </row>
    <row r="26" spans="1:12" x14ac:dyDescent="0.2">
      <c r="A26" s="14" t="s">
        <v>174</v>
      </c>
      <c r="B26" s="13">
        <f>B25*2.3548</f>
        <v>10.361120000000001</v>
      </c>
      <c r="C26" s="13" t="s">
        <v>55</v>
      </c>
      <c r="D26" s="11"/>
      <c r="E26" s="32"/>
      <c r="F26" s="32"/>
      <c r="G26" s="13"/>
    </row>
    <row r="27" spans="1:12" x14ac:dyDescent="0.2">
      <c r="A27" s="21" t="s">
        <v>61</v>
      </c>
      <c r="B27" s="13"/>
      <c r="C27" s="13"/>
      <c r="D27" s="11"/>
      <c r="E27" s="32">
        <f>2.3*52*10.4/13</f>
        <v>95.679999999999993</v>
      </c>
      <c r="F27" s="32"/>
    </row>
    <row r="28" spans="1:12" x14ac:dyDescent="0.2">
      <c r="A28" s="13" t="s">
        <v>168</v>
      </c>
      <c r="B28" s="13">
        <v>6300</v>
      </c>
      <c r="C28" s="13" t="s">
        <v>0</v>
      </c>
      <c r="D28" s="11"/>
      <c r="E28" s="32">
        <f>SQRT((B26/10.45)^2+(2.3*52/13)^2)</f>
        <v>9.2532730324564394</v>
      </c>
      <c r="F28" s="32"/>
      <c r="G28" s="13"/>
    </row>
    <row r="29" spans="1:12" x14ac:dyDescent="0.2">
      <c r="A29" s="13" t="s">
        <v>51</v>
      </c>
      <c r="B29" s="16">
        <v>6</v>
      </c>
      <c r="C29" s="13"/>
      <c r="D29" s="11"/>
      <c r="E29" s="32"/>
      <c r="F29" s="32"/>
      <c r="G29" s="16"/>
    </row>
    <row r="30" spans="1:12" x14ac:dyDescent="0.2">
      <c r="A30" s="13" t="s">
        <v>1</v>
      </c>
      <c r="B30" s="13">
        <v>9</v>
      </c>
      <c r="C30" s="13" t="s">
        <v>2</v>
      </c>
      <c r="D30" s="11"/>
      <c r="E30" s="32"/>
      <c r="F30" s="32"/>
      <c r="G30" s="13"/>
    </row>
    <row r="31" spans="1:12" x14ac:dyDescent="0.2">
      <c r="A31" s="13" t="s">
        <v>30</v>
      </c>
      <c r="B31" s="16">
        <v>0.31059999999999999</v>
      </c>
      <c r="C31" s="13" t="s">
        <v>31</v>
      </c>
      <c r="D31" s="11"/>
      <c r="E31" s="32"/>
      <c r="F31" s="32"/>
      <c r="G31" s="16"/>
    </row>
    <row r="32" spans="1:12" x14ac:dyDescent="0.2">
      <c r="A32" s="13" t="s">
        <v>88</v>
      </c>
      <c r="B32" s="18">
        <f>Throughput!D5</f>
        <v>0.67239999999999989</v>
      </c>
      <c r="C32" s="13" t="s">
        <v>89</v>
      </c>
      <c r="D32" s="78"/>
      <c r="E32" s="11"/>
      <c r="F32"/>
      <c r="J32"/>
      <c r="K32"/>
      <c r="L32"/>
    </row>
    <row r="33" spans="1:12" x14ac:dyDescent="0.2">
      <c r="A33" s="20" t="s">
        <v>63</v>
      </c>
      <c r="B33" s="81" t="s">
        <v>96</v>
      </c>
      <c r="C33" s="82"/>
      <c r="D33" s="81" t="s">
        <v>958</v>
      </c>
      <c r="E33" s="25"/>
      <c r="F33"/>
      <c r="J33"/>
      <c r="K33"/>
      <c r="L33"/>
    </row>
    <row r="34" spans="1:12" x14ac:dyDescent="0.2">
      <c r="A34" s="14" t="s">
        <v>956</v>
      </c>
      <c r="B34" s="38">
        <v>2821.67</v>
      </c>
      <c r="C34" s="13" t="s">
        <v>0</v>
      </c>
      <c r="D34" s="79">
        <v>1621.24</v>
      </c>
      <c r="E34" s="13" t="s">
        <v>0</v>
      </c>
      <c r="F34"/>
      <c r="J34"/>
      <c r="K34"/>
      <c r="L34"/>
    </row>
    <row r="35" spans="1:12" x14ac:dyDescent="0.2">
      <c r="A35" s="13" t="s">
        <v>959</v>
      </c>
      <c r="B35" s="17">
        <v>400</v>
      </c>
      <c r="C35" s="13" t="s">
        <v>0</v>
      </c>
      <c r="D35" s="80">
        <v>180</v>
      </c>
      <c r="E35" s="13" t="s">
        <v>0</v>
      </c>
      <c r="F35"/>
      <c r="J35"/>
      <c r="K35"/>
      <c r="L35"/>
    </row>
    <row r="36" spans="1:12" x14ac:dyDescent="0.2">
      <c r="A36" s="13" t="s">
        <v>978</v>
      </c>
      <c r="B36" s="17">
        <v>0.85</v>
      </c>
      <c r="C36" s="13"/>
      <c r="D36" s="80">
        <v>0.85</v>
      </c>
      <c r="E36" s="13" t="s">
        <v>979</v>
      </c>
      <c r="F36"/>
      <c r="J36"/>
      <c r="K36"/>
      <c r="L36"/>
    </row>
    <row r="37" spans="1:12" x14ac:dyDescent="0.2">
      <c r="A37" s="13" t="s">
        <v>1127</v>
      </c>
      <c r="B37" s="17">
        <v>0.9</v>
      </c>
      <c r="C37" s="13"/>
      <c r="D37" s="80">
        <v>0.6</v>
      </c>
      <c r="E37" s="13" t="s">
        <v>1124</v>
      </c>
      <c r="F37"/>
      <c r="J37"/>
      <c r="K37"/>
      <c r="L37"/>
    </row>
    <row r="38" spans="1:12" x14ac:dyDescent="0.2">
      <c r="A38" s="13" t="s">
        <v>1126</v>
      </c>
      <c r="B38" s="17">
        <v>0.9</v>
      </c>
      <c r="C38" s="13"/>
      <c r="D38" s="80">
        <v>0.1</v>
      </c>
      <c r="E38" s="13" t="s">
        <v>1125</v>
      </c>
      <c r="F38"/>
      <c r="J38"/>
      <c r="K38"/>
      <c r="L38"/>
    </row>
    <row r="39" spans="1:12" x14ac:dyDescent="0.2">
      <c r="A39" s="13" t="s">
        <v>141</v>
      </c>
      <c r="B39" s="17">
        <f>130.94*$B$36</f>
        <v>111.29899999999999</v>
      </c>
      <c r="C39" s="13" t="s">
        <v>0</v>
      </c>
      <c r="D39" s="80">
        <f>79.97*$D$36</f>
        <v>67.974499999999992</v>
      </c>
      <c r="E39" s="13" t="s">
        <v>0</v>
      </c>
      <c r="F39"/>
      <c r="J39"/>
      <c r="K39"/>
      <c r="L39"/>
    </row>
    <row r="40" spans="1:12" x14ac:dyDescent="0.2">
      <c r="A40" s="20" t="s">
        <v>62</v>
      </c>
      <c r="B40" s="13"/>
      <c r="C40" s="13"/>
      <c r="D40" s="11"/>
      <c r="E40"/>
      <c r="F40"/>
      <c r="J40"/>
      <c r="K40"/>
      <c r="L40"/>
    </row>
    <row r="41" spans="1:12" ht="19" x14ac:dyDescent="0.2">
      <c r="A41" s="58" t="s">
        <v>20</v>
      </c>
      <c r="B41" s="64">
        <v>600</v>
      </c>
      <c r="C41" s="58" t="s">
        <v>21</v>
      </c>
      <c r="D41" s="11"/>
      <c r="E41"/>
      <c r="F41"/>
      <c r="J41"/>
      <c r="K41"/>
      <c r="L41"/>
    </row>
    <row r="42" spans="1:12" x14ac:dyDescent="0.2">
      <c r="A42" s="23" t="s">
        <v>65</v>
      </c>
      <c r="B42" s="16"/>
      <c r="C42" s="13"/>
      <c r="D42" s="11"/>
      <c r="E42"/>
      <c r="F42"/>
      <c r="J42"/>
      <c r="K42"/>
      <c r="L42"/>
    </row>
    <row r="43" spans="1:12" x14ac:dyDescent="0.2">
      <c r="A43" s="12" t="s">
        <v>169</v>
      </c>
      <c r="B43" s="18">
        <v>3</v>
      </c>
      <c r="C43" s="13" t="s">
        <v>2</v>
      </c>
      <c r="D43" s="11">
        <f>(B46/1.22)/B52</f>
        <v>0.29076923076923067</v>
      </c>
      <c r="E43"/>
      <c r="F43"/>
      <c r="J43"/>
      <c r="K43"/>
      <c r="L43"/>
    </row>
    <row r="44" spans="1:12" x14ac:dyDescent="0.2">
      <c r="A44" s="12" t="s">
        <v>32</v>
      </c>
      <c r="B44" s="18">
        <f>SQRT(1-$B$31^2)*$B$30</f>
        <v>8.5548663835269814</v>
      </c>
      <c r="C44" s="13" t="s">
        <v>2</v>
      </c>
      <c r="D44" s="11"/>
      <c r="E44"/>
      <c r="F44"/>
      <c r="J44"/>
      <c r="K44"/>
      <c r="L44"/>
    </row>
    <row r="45" spans="1:12" x14ac:dyDescent="0.2">
      <c r="A45" s="12" t="s">
        <v>52</v>
      </c>
      <c r="B45" s="18">
        <f>$B$29*$B$44</f>
        <v>51.329198301161888</v>
      </c>
      <c r="C45" s="13" t="s">
        <v>2</v>
      </c>
      <c r="D45" s="11"/>
      <c r="E45"/>
      <c r="F45"/>
      <c r="J45"/>
      <c r="K45"/>
      <c r="L45"/>
    </row>
    <row r="46" spans="1:12" x14ac:dyDescent="0.2">
      <c r="A46" s="13" t="s">
        <v>1154</v>
      </c>
      <c r="B46" s="18">
        <f>1.22*($B$28*0.0000000001/(Eff_diam*0.01))*(180*3600/PI())</f>
        <v>1.853157290531027</v>
      </c>
      <c r="C46" s="13" t="s">
        <v>55</v>
      </c>
      <c r="E46" s="32"/>
      <c r="F46" s="32"/>
      <c r="G46" s="13"/>
    </row>
    <row r="47" spans="1:12" x14ac:dyDescent="0.2">
      <c r="A47" s="13" t="s">
        <v>1160</v>
      </c>
      <c r="B47" s="18">
        <f>B46*(0.45/1.22)/B52</f>
        <v>0.13084615384615381</v>
      </c>
      <c r="C47" s="13" t="s">
        <v>56</v>
      </c>
      <c r="D47" s="11"/>
      <c r="E47" s="32"/>
      <c r="F47" s="32"/>
      <c r="G47" s="13"/>
    </row>
    <row r="48" spans="1:12" x14ac:dyDescent="0.2">
      <c r="A48" s="13" t="s">
        <v>1155</v>
      </c>
      <c r="B48" s="18">
        <f>0.45*2.3548*B46/1.22</f>
        <v>1.6096038151509082</v>
      </c>
      <c r="C48" s="13" t="s">
        <v>55</v>
      </c>
      <c r="D48" s="11"/>
      <c r="E48" s="32"/>
      <c r="F48" s="32"/>
      <c r="G48" s="13"/>
    </row>
    <row r="49" spans="1:12" ht="17" x14ac:dyDescent="0.2">
      <c r="A49" s="48" t="s">
        <v>170</v>
      </c>
      <c r="B49" s="18">
        <f>2.44*($B$28*0.0000000001/(Eff_diam*0.01))*(180*3600/PI())</f>
        <v>3.7063145810620539</v>
      </c>
      <c r="C49" s="13" t="s">
        <v>55</v>
      </c>
      <c r="D49" s="11"/>
      <c r="E49" s="32"/>
      <c r="F49" s="32"/>
      <c r="G49" s="13"/>
    </row>
    <row r="50" spans="1:12" ht="17" x14ac:dyDescent="0.2">
      <c r="A50" s="48" t="s">
        <v>170</v>
      </c>
      <c r="B50" s="18">
        <f>2.44*($B$28*0.0000000001/(Eff_diam*0.01))*$B$45*10000</f>
        <v>9.2231999999999985</v>
      </c>
      <c r="C50" s="13" t="s">
        <v>50</v>
      </c>
      <c r="D50" s="11"/>
      <c r="E50" s="32"/>
      <c r="F50" s="32"/>
      <c r="G50" s="13"/>
    </row>
    <row r="51" spans="1:12" x14ac:dyDescent="0.2">
      <c r="A51" s="12" t="s">
        <v>53</v>
      </c>
      <c r="B51" s="15">
        <f>$B$24*0.0001/$B$45</f>
        <v>2.5326715456815802E-5</v>
      </c>
      <c r="C51" s="13" t="s">
        <v>54</v>
      </c>
      <c r="D51" s="11"/>
      <c r="E51"/>
      <c r="F51"/>
      <c r="J51"/>
      <c r="K51"/>
      <c r="L51"/>
    </row>
    <row r="52" spans="1:12" ht="21" x14ac:dyDescent="0.2">
      <c r="A52" s="84" t="s">
        <v>981</v>
      </c>
      <c r="B52" s="18">
        <f>$B$51*(180/PI())*3600</f>
        <v>5.2240100565754526</v>
      </c>
      <c r="C52" s="84" t="s">
        <v>55</v>
      </c>
      <c r="D52" s="11">
        <f>40*60*0.013/B52</f>
        <v>5.972423418429031</v>
      </c>
      <c r="E52"/>
      <c r="F52"/>
      <c r="J52"/>
      <c r="K52"/>
      <c r="L52"/>
    </row>
    <row r="53" spans="1:12" x14ac:dyDescent="0.2">
      <c r="A53" s="23" t="s">
        <v>175</v>
      </c>
      <c r="B53" s="16"/>
      <c r="C53" s="13"/>
      <c r="D53" s="11">
        <f>0.0000000000013*1024</f>
        <v>1.3311999999999999E-9</v>
      </c>
      <c r="E53"/>
      <c r="F53"/>
      <c r="J53"/>
      <c r="K53"/>
      <c r="L53"/>
    </row>
    <row r="54" spans="1:12" x14ac:dyDescent="0.2">
      <c r="A54" s="53" t="s">
        <v>140</v>
      </c>
      <c r="B54" s="16"/>
      <c r="C54" s="13"/>
      <c r="D54" s="11"/>
      <c r="E54"/>
      <c r="F54"/>
      <c r="J54"/>
      <c r="K54"/>
      <c r="L54"/>
    </row>
    <row r="55" spans="1:12" ht="34" x14ac:dyDescent="0.2">
      <c r="A55" s="12" t="s">
        <v>176</v>
      </c>
      <c r="B55" s="18">
        <f>($B$46/1.22)/($B$52)</f>
        <v>0.29076923076923067</v>
      </c>
      <c r="C55" s="13" t="s">
        <v>171</v>
      </c>
      <c r="D55" s="11" t="s">
        <v>95</v>
      </c>
      <c r="E55">
        <f>B55*1.22</f>
        <v>0.35473846153846139</v>
      </c>
      <c r="F55"/>
      <c r="J55"/>
      <c r="K55"/>
      <c r="L55"/>
    </row>
    <row r="56" spans="1:12" s="11" customFormat="1" ht="17" x14ac:dyDescent="0.2">
      <c r="A56" s="48" t="s">
        <v>177</v>
      </c>
      <c r="B56" s="18">
        <f>2.44*B55</f>
        <v>0.70947692307692278</v>
      </c>
      <c r="C56" s="48" t="s">
        <v>56</v>
      </c>
      <c r="J56" s="32"/>
      <c r="K56" s="32"/>
      <c r="L56" s="32"/>
    </row>
    <row r="57" spans="1:12" s="11" customFormat="1" x14ac:dyDescent="0.2">
      <c r="A57" s="53" t="s">
        <v>1162</v>
      </c>
      <c r="B57" s="48"/>
      <c r="C57" s="48"/>
      <c r="J57" s="32"/>
      <c r="K57" s="32"/>
      <c r="L57" s="32"/>
    </row>
    <row r="58" spans="1:12" s="11" customFormat="1" ht="17" x14ac:dyDescent="0.2">
      <c r="A58" s="48" t="s">
        <v>1164</v>
      </c>
      <c r="B58" s="48">
        <v>2.13</v>
      </c>
      <c r="C58" s="48" t="s">
        <v>50</v>
      </c>
      <c r="D58" s="11" t="s">
        <v>1163</v>
      </c>
      <c r="J58" s="32"/>
      <c r="K58" s="32"/>
      <c r="L58" s="32"/>
    </row>
    <row r="59" spans="1:12" s="11" customFormat="1" ht="17" x14ac:dyDescent="0.2">
      <c r="A59" s="48" t="s">
        <v>1165</v>
      </c>
      <c r="B59" s="170">
        <f>B58/$B$24</f>
        <v>0.16384615384615384</v>
      </c>
      <c r="C59" s="48" t="s">
        <v>56</v>
      </c>
      <c r="J59" s="32"/>
      <c r="K59" s="32"/>
      <c r="L59" s="32"/>
    </row>
    <row r="60" spans="1:12" s="11" customFormat="1" ht="17" x14ac:dyDescent="0.2">
      <c r="A60" s="48" t="s">
        <v>1166</v>
      </c>
      <c r="B60" s="170">
        <f>B52*B59</f>
        <v>0.85593395542351636</v>
      </c>
      <c r="C60" s="48" t="s">
        <v>55</v>
      </c>
      <c r="J60" s="32"/>
      <c r="K60" s="32"/>
      <c r="L60" s="32"/>
    </row>
    <row r="61" spans="1:12" s="11" customFormat="1" ht="17" x14ac:dyDescent="0.2">
      <c r="A61" s="48" t="s">
        <v>1167</v>
      </c>
      <c r="B61" s="170">
        <f>B60*2.3548</f>
        <v>2.0155532782312964</v>
      </c>
      <c r="C61" s="48" t="s">
        <v>55</v>
      </c>
      <c r="J61" s="32"/>
      <c r="K61" s="32"/>
      <c r="L61" s="32"/>
    </row>
    <row r="62" spans="1:12" s="11" customFormat="1" x14ac:dyDescent="0.2">
      <c r="A62" s="53" t="s">
        <v>179</v>
      </c>
      <c r="B62" s="170"/>
      <c r="C62" s="48"/>
      <c r="J62" s="32"/>
      <c r="K62" s="32"/>
      <c r="L62" s="32"/>
    </row>
    <row r="63" spans="1:12" x14ac:dyDescent="0.2">
      <c r="A63" s="14" t="s">
        <v>1156</v>
      </c>
      <c r="B63" s="18">
        <f>($B$26/(0.45*2.3548))/$B$52</f>
        <v>1.8716996468011209</v>
      </c>
      <c r="C63" s="13"/>
      <c r="D63" s="11"/>
      <c r="E63"/>
      <c r="F63"/>
    </row>
    <row r="64" spans="1:12" x14ac:dyDescent="0.2">
      <c r="A64" s="14" t="s">
        <v>172</v>
      </c>
      <c r="B64" s="18">
        <f>2.44*B63</f>
        <v>4.5669471381947346</v>
      </c>
      <c r="C64" s="13" t="s">
        <v>56</v>
      </c>
      <c r="D64" s="11"/>
      <c r="E64"/>
      <c r="F64"/>
    </row>
    <row r="65" spans="1:17" x14ac:dyDescent="0.2">
      <c r="A65" s="14" t="s">
        <v>28</v>
      </c>
      <c r="B65" s="18">
        <f>$B$26/$B$46</f>
        <v>5.5910634531356997</v>
      </c>
      <c r="C65" s="13"/>
      <c r="D65" s="48"/>
      <c r="E65"/>
      <c r="F65"/>
    </row>
    <row r="66" spans="1:17" x14ac:dyDescent="0.2">
      <c r="A66" s="54" t="s">
        <v>180</v>
      </c>
      <c r="B66" s="18"/>
      <c r="C66" s="13"/>
      <c r="D66" s="11"/>
      <c r="E66"/>
      <c r="F66"/>
    </row>
    <row r="67" spans="1:17" ht="19" x14ac:dyDescent="0.25">
      <c r="A67" s="63" t="s">
        <v>178</v>
      </c>
      <c r="B67" s="171">
        <f>SQRT(B26^2+B48^2+B61^2)</f>
        <v>10.677363303434856</v>
      </c>
      <c r="C67" s="58" t="s">
        <v>55</v>
      </c>
      <c r="D67">
        <f>3600/9.8</f>
        <v>367.34693877551018</v>
      </c>
    </row>
    <row r="68" spans="1:17" ht="51" x14ac:dyDescent="0.2">
      <c r="A68" s="163" t="s">
        <v>1152</v>
      </c>
      <c r="B68" s="172">
        <f>2*$B$67*(PI()/(180*3600))*$B$45*$B$29</f>
        <v>3.1884867320254556E-2</v>
      </c>
      <c r="C68" s="12" t="s">
        <v>2</v>
      </c>
      <c r="D68" s="164" t="s">
        <v>1153</v>
      </c>
    </row>
    <row r="69" spans="1:17" x14ac:dyDescent="0.2">
      <c r="A69" s="14" t="s">
        <v>1157</v>
      </c>
      <c r="B69" s="18">
        <f>($B$67/(0.45*2.3548))/$B$52</f>
        <v>1.9288278799788312</v>
      </c>
      <c r="C69" s="13"/>
    </row>
    <row r="70" spans="1:17" x14ac:dyDescent="0.2">
      <c r="A70" s="14" t="s">
        <v>181</v>
      </c>
      <c r="B70" s="18">
        <f>2.44*B69</f>
        <v>4.7063400271483484</v>
      </c>
      <c r="C70" s="13" t="s">
        <v>56</v>
      </c>
    </row>
    <row r="71" spans="1:17" ht="19" x14ac:dyDescent="0.2">
      <c r="A71" s="63" t="s">
        <v>1158</v>
      </c>
      <c r="B71" s="173">
        <f>1.22*B69</f>
        <v>2.3531700135741742</v>
      </c>
      <c r="C71" s="58" t="s">
        <v>56</v>
      </c>
    </row>
    <row r="72" spans="1:17" x14ac:dyDescent="0.2">
      <c r="A72" s="23" t="s">
        <v>182</v>
      </c>
      <c r="C72" s="13"/>
    </row>
    <row r="73" spans="1:17" ht="17" x14ac:dyDescent="0.2">
      <c r="A73" s="13" t="s">
        <v>183</v>
      </c>
      <c r="B73" s="172">
        <f>IF(PI()*($B$71)^2&lt;1,1,PI()*($B$71)^2)</f>
        <v>17.396283788645523</v>
      </c>
      <c r="C73" s="13" t="s">
        <v>56</v>
      </c>
      <c r="D73" s="11" t="s">
        <v>983</v>
      </c>
      <c r="E73" s="32"/>
      <c r="F73" s="32"/>
    </row>
    <row r="74" spans="1:17" ht="19" x14ac:dyDescent="0.2">
      <c r="A74" s="58" t="s">
        <v>984</v>
      </c>
      <c r="B74" s="172">
        <v>0.01</v>
      </c>
      <c r="C74" s="13"/>
      <c r="D74" s="11"/>
      <c r="E74" s="32"/>
      <c r="F74" s="32"/>
    </row>
    <row r="75" spans="1:17" x14ac:dyDescent="0.2">
      <c r="A75" s="13" t="s">
        <v>29</v>
      </c>
      <c r="B75" s="172">
        <f>SQRT($B$73)*$B$74/$B$73</f>
        <v>2.3975725523155975E-3</v>
      </c>
      <c r="C75" s="13"/>
      <c r="D75" s="85" t="s">
        <v>985</v>
      </c>
      <c r="E75"/>
      <c r="F75"/>
    </row>
    <row r="76" spans="1:17" ht="19" x14ac:dyDescent="0.2">
      <c r="A76" s="58" t="s">
        <v>69</v>
      </c>
      <c r="B76" s="172">
        <f>SQRT($B$73)*$B$19*$B$20</f>
        <v>47.781673101952364</v>
      </c>
      <c r="C76" s="58" t="s">
        <v>33</v>
      </c>
      <c r="D76" s="52"/>
      <c r="E76" s="32"/>
      <c r="F76" s="32"/>
      <c r="I76" s="8"/>
    </row>
    <row r="77" spans="1:17" x14ac:dyDescent="0.2">
      <c r="A77" s="13" t="s">
        <v>34</v>
      </c>
      <c r="B77" s="172">
        <f>B76^2</f>
        <v>2283.0882844218381</v>
      </c>
      <c r="C77" s="13"/>
      <c r="D77" s="11"/>
      <c r="E77" s="32"/>
      <c r="F77" s="32"/>
    </row>
    <row r="78" spans="1:17" ht="51" x14ac:dyDescent="0.2">
      <c r="A78" s="61" t="s">
        <v>968</v>
      </c>
      <c r="B78" s="62">
        <f>$B$37*$B$6*PI()*($B$44/2)^2*$B$39*$B$32*0.0000001*$B$52^2/($B$3*$B$4/($B$34*0.0000000001))</f>
        <v>5.9990067956826654E-2</v>
      </c>
      <c r="C78" s="12" t="s">
        <v>59</v>
      </c>
      <c r="D78" s="57"/>
      <c r="E78" s="33" t="s">
        <v>970</v>
      </c>
      <c r="F78" s="33"/>
      <c r="G78" s="2"/>
      <c r="H78" s="2"/>
      <c r="I78" s="2"/>
      <c r="J78" s="7"/>
      <c r="K78" s="7"/>
      <c r="L78" s="7"/>
      <c r="M78" s="2"/>
      <c r="N78" s="2"/>
      <c r="O78" s="2"/>
      <c r="P78" s="2"/>
      <c r="Q78" s="2"/>
    </row>
    <row r="79" spans="1:17" x14ac:dyDescent="0.2">
      <c r="A79" s="61" t="s">
        <v>969</v>
      </c>
      <c r="B79" s="62">
        <f>$D$37*$B$7*PI()*($B$44/2)^2*$B$39*$B$32*0.0000001*$B$52^2/($B$3*$B$4/($B$34*0.0000000001))</f>
        <v>4.9991723297355543E-6</v>
      </c>
      <c r="C79" s="12" t="s">
        <v>59</v>
      </c>
      <c r="D79" s="57"/>
      <c r="E79" s="33"/>
      <c r="F79" s="33"/>
      <c r="G79" s="2"/>
      <c r="H79" s="2"/>
      <c r="I79" s="2"/>
      <c r="J79" s="7"/>
      <c r="K79" s="7"/>
      <c r="L79" s="7"/>
      <c r="M79" s="2"/>
      <c r="N79" s="2"/>
      <c r="O79" s="2"/>
      <c r="P79" s="2"/>
      <c r="Q79" s="2"/>
    </row>
    <row r="80" spans="1:17" ht="19" x14ac:dyDescent="0.2">
      <c r="A80" s="58" t="s">
        <v>971</v>
      </c>
      <c r="B80" s="59">
        <f>SQRT($B$78*$B$73*$B$41)</f>
        <v>25.023240158026137</v>
      </c>
      <c r="C80" s="58" t="s">
        <v>33</v>
      </c>
      <c r="D80" s="11"/>
      <c r="E80" s="32"/>
      <c r="F80" s="32"/>
      <c r="G80" s="8"/>
    </row>
    <row r="81" spans="1:24" ht="19" x14ac:dyDescent="0.2">
      <c r="A81" s="58" t="s">
        <v>972</v>
      </c>
      <c r="B81" s="59">
        <f>SQRT($B$79*$B$73*$B$41)</f>
        <v>0.22842988494033423</v>
      </c>
      <c r="C81" s="58" t="s">
        <v>33</v>
      </c>
      <c r="D81" s="11"/>
      <c r="E81" s="32"/>
      <c r="F81" s="32"/>
      <c r="G81" s="8"/>
    </row>
    <row r="82" spans="1:24" x14ac:dyDescent="0.2">
      <c r="A82" s="13" t="s">
        <v>993</v>
      </c>
      <c r="B82" s="39">
        <f>(180*3600/PI())^2*0.0000001*($B$8*$B$9*0.0000001216+$B$10*$B$11*0.0000001302+$B$12*$B$13*0.0000001356)/($B$3*$B$4)</f>
        <v>1368041.042433135</v>
      </c>
      <c r="C82" s="13" t="s">
        <v>114</v>
      </c>
      <c r="D82" s="11"/>
      <c r="E82" s="32"/>
      <c r="F82" s="32"/>
      <c r="G82" s="8"/>
    </row>
    <row r="83" spans="1:24" x14ac:dyDescent="0.2">
      <c r="A83" s="13" t="s">
        <v>993</v>
      </c>
      <c r="B83" s="39">
        <f>$D$37*$B$32*$B$82*$B$51^2*$B$41*$B$73*PI()*(Eff_diam/2)^2</f>
        <v>212.40263556408328</v>
      </c>
      <c r="C83" s="13" t="s">
        <v>116</v>
      </c>
      <c r="D83" s="11"/>
      <c r="E83" s="32"/>
      <c r="F83" s="32"/>
      <c r="G83" s="8"/>
    </row>
    <row r="84" spans="1:24" ht="19" x14ac:dyDescent="0.2">
      <c r="A84" s="58" t="s">
        <v>995</v>
      </c>
      <c r="B84" s="60">
        <f>SQRT($B$83)</f>
        <v>14.574039781889004</v>
      </c>
      <c r="C84" s="58" t="s">
        <v>116</v>
      </c>
      <c r="D84" s="11"/>
      <c r="E84" s="32"/>
      <c r="F84" s="32"/>
      <c r="G84" s="8"/>
    </row>
    <row r="85" spans="1:24" x14ac:dyDescent="0.2">
      <c r="A85" s="13" t="s">
        <v>994</v>
      </c>
      <c r="B85" s="39">
        <f>(180*3600/PI())^2*0.0000001*($B$15*$B$14*0.0000002471)/($B$3*$B$4)</f>
        <v>14808.407497988623</v>
      </c>
      <c r="C85" s="13" t="s">
        <v>114</v>
      </c>
      <c r="D85" s="11"/>
      <c r="E85" s="32"/>
      <c r="F85" s="32"/>
      <c r="G85" s="8"/>
    </row>
    <row r="86" spans="1:24" x14ac:dyDescent="0.2">
      <c r="A86" s="13" t="s">
        <v>994</v>
      </c>
      <c r="B86" s="39">
        <f>$B$37*$B$32*$B$85*$B$51^2*$B$41*$B$73*PI()*(Eff_diam/2)^2</f>
        <v>3.4487394933914604</v>
      </c>
      <c r="C86" s="13" t="s">
        <v>116</v>
      </c>
      <c r="D86" s="11"/>
      <c r="E86" s="32"/>
      <c r="F86" s="32"/>
      <c r="G86" s="8"/>
    </row>
    <row r="87" spans="1:24" ht="19" x14ac:dyDescent="0.2">
      <c r="A87" s="58" t="s">
        <v>996</v>
      </c>
      <c r="B87" s="60">
        <f>SQRT($B$86)</f>
        <v>1.857078214128705</v>
      </c>
      <c r="C87" s="58" t="s">
        <v>116</v>
      </c>
      <c r="D87" s="11"/>
      <c r="E87" s="32"/>
      <c r="F87" s="32"/>
      <c r="G87" s="8"/>
    </row>
    <row r="88" spans="1:24" x14ac:dyDescent="0.2">
      <c r="A88" s="13" t="s">
        <v>70</v>
      </c>
      <c r="B88">
        <f>$B$21*1140000*($B$23)^3*EXP(-9080/($B$23))</f>
        <v>0.10367972021200136</v>
      </c>
      <c r="C88" s="13" t="s">
        <v>24</v>
      </c>
      <c r="D88" s="19"/>
      <c r="E88" s="32"/>
      <c r="F88" s="32"/>
      <c r="G88" s="8"/>
    </row>
    <row r="89" spans="1:24" ht="19" x14ac:dyDescent="0.2">
      <c r="A89" s="58" t="s">
        <v>68</v>
      </c>
      <c r="B89" s="59">
        <f>SQRT($B$88*$B$41*$B$73)</f>
        <v>32.896581913037799</v>
      </c>
      <c r="C89" s="58" t="s">
        <v>33</v>
      </c>
      <c r="D89" s="11"/>
      <c r="E89" s="32"/>
      <c r="F89" s="32"/>
    </row>
    <row r="90" spans="1:24" ht="19" x14ac:dyDescent="0.2">
      <c r="A90" s="58" t="s">
        <v>975</v>
      </c>
      <c r="B90" s="59">
        <v>1.2</v>
      </c>
      <c r="C90" s="58" t="s">
        <v>974</v>
      </c>
      <c r="D90" s="11"/>
      <c r="E90" s="32"/>
      <c r="F90" s="32"/>
    </row>
    <row r="91" spans="1:24" ht="19" x14ac:dyDescent="0.2">
      <c r="A91" s="58" t="s">
        <v>976</v>
      </c>
      <c r="B91" s="59">
        <v>1.2</v>
      </c>
      <c r="C91" s="58" t="s">
        <v>974</v>
      </c>
      <c r="D91" s="11"/>
      <c r="E91" s="32"/>
      <c r="F91" s="32"/>
    </row>
    <row r="92" spans="1:24" ht="17" thickBot="1" x14ac:dyDescent="0.25">
      <c r="A92" s="13"/>
      <c r="B92" s="9"/>
    </row>
    <row r="93" spans="1:24" x14ac:dyDescent="0.2">
      <c r="C93" s="134" t="s">
        <v>87</v>
      </c>
      <c r="D93" s="123" t="s">
        <v>87</v>
      </c>
      <c r="E93" s="123" t="s">
        <v>87</v>
      </c>
      <c r="F93" s="122" t="s">
        <v>217</v>
      </c>
      <c r="G93" s="122" t="s">
        <v>217</v>
      </c>
      <c r="H93" s="135" t="s">
        <v>217</v>
      </c>
      <c r="I93" s="121" t="s">
        <v>217</v>
      </c>
      <c r="J93" s="122" t="s">
        <v>217</v>
      </c>
      <c r="K93" s="122" t="s">
        <v>217</v>
      </c>
      <c r="L93" s="122" t="s">
        <v>217</v>
      </c>
      <c r="M93" s="122" t="s">
        <v>217</v>
      </c>
      <c r="N93" s="122" t="s">
        <v>217</v>
      </c>
      <c r="O93" s="122" t="s">
        <v>217</v>
      </c>
      <c r="P93" s="122" t="s">
        <v>217</v>
      </c>
      <c r="Q93" s="123" t="s">
        <v>87</v>
      </c>
      <c r="R93" s="123" t="s">
        <v>87</v>
      </c>
      <c r="S93" s="123" t="s">
        <v>87</v>
      </c>
      <c r="T93" s="123" t="s">
        <v>87</v>
      </c>
      <c r="U93" s="123" t="s">
        <v>87</v>
      </c>
      <c r="V93" s="123" t="s">
        <v>87</v>
      </c>
      <c r="W93" s="123" t="s">
        <v>87</v>
      </c>
      <c r="X93" s="124" t="s">
        <v>87</v>
      </c>
    </row>
    <row r="94" spans="1:24" s="30" customFormat="1" ht="51" x14ac:dyDescent="0.2">
      <c r="A94" s="35" t="s">
        <v>3</v>
      </c>
      <c r="B94" s="35" t="s">
        <v>1117</v>
      </c>
      <c r="C94" s="136" t="s">
        <v>39</v>
      </c>
      <c r="D94" s="115" t="s">
        <v>184</v>
      </c>
      <c r="E94" s="115" t="s">
        <v>142</v>
      </c>
      <c r="F94" s="116" t="s">
        <v>39</v>
      </c>
      <c r="G94" s="115" t="s">
        <v>184</v>
      </c>
      <c r="H94" s="126" t="s">
        <v>185</v>
      </c>
      <c r="I94" s="125" t="s">
        <v>35</v>
      </c>
      <c r="J94" s="115" t="s">
        <v>36</v>
      </c>
      <c r="K94" s="115" t="s">
        <v>1123</v>
      </c>
      <c r="L94" s="115" t="s">
        <v>98</v>
      </c>
      <c r="M94" s="115" t="s">
        <v>97</v>
      </c>
      <c r="N94" s="116" t="s">
        <v>37</v>
      </c>
      <c r="O94" s="115" t="s">
        <v>38</v>
      </c>
      <c r="P94" s="115" t="s">
        <v>118</v>
      </c>
      <c r="Q94" s="115" t="s">
        <v>35</v>
      </c>
      <c r="R94" s="115" t="s">
        <v>36</v>
      </c>
      <c r="S94" s="115" t="s">
        <v>1123</v>
      </c>
      <c r="T94" s="115" t="s">
        <v>98</v>
      </c>
      <c r="U94" s="115" t="s">
        <v>97</v>
      </c>
      <c r="V94" s="76" t="s">
        <v>37</v>
      </c>
      <c r="W94" s="115" t="s">
        <v>38</v>
      </c>
      <c r="X94" s="126" t="s">
        <v>118</v>
      </c>
    </row>
    <row r="95" spans="1:24" x14ac:dyDescent="0.2">
      <c r="A95" s="40" t="s">
        <v>194</v>
      </c>
      <c r="B95" s="145" t="s">
        <v>1118</v>
      </c>
      <c r="C95" s="137">
        <f t="shared" ref="C95:C135" si="0">U95/($B$90*SQRT(V95^2+$B$80^2+W95^2+$B$76^2+$B$89^2+$B$87^2+X95^2))</f>
        <v>40.004608228582903</v>
      </c>
      <c r="D95" s="37">
        <v>3543.52</v>
      </c>
      <c r="E95" s="37" t="s">
        <v>1060</v>
      </c>
      <c r="F95" s="138">
        <f t="shared" ref="F95:F135" si="1">M95/($B$91*SQRT(N95^2+$B$81^2+O95^2+$B$76^2+$B$89^2+$B$84^2+P95^2))</f>
        <v>5.5581696382178709</v>
      </c>
      <c r="G95" s="37">
        <v>479.85</v>
      </c>
      <c r="H95" s="139">
        <v>1</v>
      </c>
      <c r="I95" s="127">
        <f t="shared" ref="I95:I119" si="2">G95*0.000001*1E-26*3E+21/$D$34^2</f>
        <v>5.476866225051336E-15</v>
      </c>
      <c r="J95" s="118">
        <f t="shared" ref="J95:J119" si="3">I95*$D$39</f>
        <v>3.7228724321475199E-13</v>
      </c>
      <c r="K95" s="118">
        <v>1</v>
      </c>
      <c r="L95" s="118">
        <f t="shared" ref="L95:L135" si="4">K95*$D$37*(J95*PI()*(Eff_diam/2)^2*$B$32)*0.0000001/($B$3*$B$4/($D$34*0.0000000001))</f>
        <v>0.7041222646147719</v>
      </c>
      <c r="M95" s="118">
        <f t="shared" ref="M95:M119" si="5">L95*$B$41</f>
        <v>422.47335876886314</v>
      </c>
      <c r="N95" s="119">
        <f t="shared" ref="N95:N119" si="6">SQRT(M95)</f>
        <v>20.554156727262328</v>
      </c>
      <c r="O95" s="111">
        <f>SQRT($B$75*M95*(1+0.1337*$D$38/((1-0.1337)*$D$37)))</f>
        <v>1.0192963456019255</v>
      </c>
      <c r="P95" s="111">
        <f>SQRT(M95*0.1337*$D$38/((1-0.1337)*$D$37))</f>
        <v>3.2965190134131164</v>
      </c>
      <c r="Q95" s="117">
        <f t="shared" ref="Q95:Q119" si="7">D95*0.000001*1E-26*3E+21/$B$34^2</f>
        <v>1.3351919383399182E-14</v>
      </c>
      <c r="R95" s="118">
        <f t="shared" ref="R95:R119" si="8">Q95*$B$39</f>
        <v>1.4860552754529455E-12</v>
      </c>
      <c r="S95" s="118">
        <v>1</v>
      </c>
      <c r="T95" s="118">
        <f t="shared" ref="T95:T135" si="9">S95*$B$37*(R95*PI()*(Eff_diam/2)^2*$B$32)*0.0000001/($B$3*$B$4/($B$34*0.0000000001))</f>
        <v>7.3376172736586289</v>
      </c>
      <c r="U95" s="111">
        <f t="shared" ref="U95:U119" si="10">T95*$B$41</f>
        <v>4402.5703641951777</v>
      </c>
      <c r="V95" s="120">
        <f t="shared" ref="V95:V119" si="11">SQRT(U95)</f>
        <v>66.351867827478515</v>
      </c>
      <c r="W95" s="111">
        <f>SQRT($B$75*U95*(1+0.0006*$B$38/((1-0.0006)*$B$37)))</f>
        <v>3.2498952223427398</v>
      </c>
      <c r="X95" s="112">
        <f>SQRT(U95*0.0006*$B$38/((1-0.0006)*$B$37))</f>
        <v>1.6257700007609721</v>
      </c>
    </row>
    <row r="96" spans="1:24" x14ac:dyDescent="0.2">
      <c r="A96" s="40" t="s">
        <v>190</v>
      </c>
      <c r="B96" s="145" t="s">
        <v>1118</v>
      </c>
      <c r="C96" s="137">
        <f t="shared" si="0"/>
        <v>38.849385529724714</v>
      </c>
      <c r="D96" s="37">
        <v>3415.94</v>
      </c>
      <c r="E96" s="37" t="s">
        <v>1060</v>
      </c>
      <c r="F96" s="138">
        <f t="shared" si="1"/>
        <v>5.7912255673017583</v>
      </c>
      <c r="G96" s="37">
        <v>509.77</v>
      </c>
      <c r="H96" s="139">
        <v>1</v>
      </c>
      <c r="I96" s="127">
        <f t="shared" si="2"/>
        <v>5.8183642712189638E-15</v>
      </c>
      <c r="J96" s="118">
        <f t="shared" si="3"/>
        <v>3.9550040215397343E-13</v>
      </c>
      <c r="K96" s="118">
        <v>1</v>
      </c>
      <c r="L96" s="118">
        <f t="shared" si="4"/>
        <v>0.74802627244487319</v>
      </c>
      <c r="M96" s="118">
        <f t="shared" si="5"/>
        <v>448.8157634669239</v>
      </c>
      <c r="N96" s="119">
        <f t="shared" si="6"/>
        <v>21.185272324587284</v>
      </c>
      <c r="O96" s="111">
        <f>SQRT($B$75*M96*(1+0.1337*$D$38/((1-0.1337)*$D$37)))</f>
        <v>1.0505938505563595</v>
      </c>
      <c r="P96" s="111">
        <f>SQRT(M96*0.657*$D$38/((1-0.657)*$D$37))</f>
        <v>11.969997247689873</v>
      </c>
      <c r="Q96" s="117">
        <f t="shared" si="7"/>
        <v>1.2871200246796574E-14</v>
      </c>
      <c r="R96" s="118">
        <f t="shared" si="8"/>
        <v>1.4325517162682118E-12</v>
      </c>
      <c r="S96" s="118">
        <v>1</v>
      </c>
      <c r="T96" s="118">
        <f t="shared" si="9"/>
        <v>7.0734355527219988</v>
      </c>
      <c r="U96" s="111">
        <f t="shared" si="10"/>
        <v>4244.0613316331992</v>
      </c>
      <c r="V96" s="120">
        <f t="shared" si="11"/>
        <v>65.146460622455919</v>
      </c>
      <c r="W96" s="111">
        <f>SQRT($B$75*U96*(1+0.0006*$B$38/((1-0.0006)*$B$37)))</f>
        <v>3.1908547274049606</v>
      </c>
      <c r="X96" s="112">
        <f>SQRT(U96*0.009*$B$38/((1-0.009)*$B$37))</f>
        <v>6.2083365704060993</v>
      </c>
    </row>
    <row r="97" spans="1:24" x14ac:dyDescent="0.2">
      <c r="A97" s="40" t="s">
        <v>189</v>
      </c>
      <c r="B97" s="145" t="s">
        <v>4</v>
      </c>
      <c r="C97" s="137">
        <f t="shared" si="0"/>
        <v>36.889619346504858</v>
      </c>
      <c r="D97" s="37">
        <f>'Arbitrary Wavelength'!F16*E97</f>
        <v>3187.8369223351574</v>
      </c>
      <c r="E97" s="37">
        <v>2</v>
      </c>
      <c r="F97" s="138">
        <f t="shared" si="1"/>
        <v>6.1817789217346579</v>
      </c>
      <c r="G97" s="37">
        <f>'Arbitrary Wavelength'!H16*H97</f>
        <v>537.65519200938729</v>
      </c>
      <c r="H97" s="139">
        <v>1</v>
      </c>
      <c r="I97" s="127">
        <f t="shared" si="2"/>
        <v>6.1366376197555571E-15</v>
      </c>
      <c r="J97" s="118">
        <f t="shared" si="3"/>
        <v>4.1713487388407408E-13</v>
      </c>
      <c r="K97" s="118">
        <v>1</v>
      </c>
      <c r="L97" s="118">
        <f t="shared" si="4"/>
        <v>0.78894444384607665</v>
      </c>
      <c r="M97" s="118">
        <f t="shared" si="5"/>
        <v>473.36666630764597</v>
      </c>
      <c r="N97" s="119">
        <f t="shared" si="6"/>
        <v>21.756991205303319</v>
      </c>
      <c r="O97" s="111">
        <f>SQRT($B$75*M97*(1+0.1337*$D$38/((1-0.1337)*$D$37)))</f>
        <v>1.0789458269258174</v>
      </c>
      <c r="P97" s="111">
        <f t="shared" ref="P97:P135" si="12">SQRT(M97*$B$17*$D$38/((1-$B$17)*$D$37))</f>
        <v>4.4411272326011915</v>
      </c>
      <c r="Q97" s="117">
        <f t="shared" si="7"/>
        <v>1.2011711968450124E-14</v>
      </c>
      <c r="R97" s="118">
        <f t="shared" si="8"/>
        <v>1.3368915303765302E-12</v>
      </c>
      <c r="S97" s="118">
        <v>1</v>
      </c>
      <c r="T97" s="118">
        <f t="shared" si="9"/>
        <v>6.6010992648364368</v>
      </c>
      <c r="U97" s="111">
        <f t="shared" si="10"/>
        <v>3960.6595589018621</v>
      </c>
      <c r="V97" s="120">
        <f t="shared" si="11"/>
        <v>62.933771211503462</v>
      </c>
      <c r="W97" s="111">
        <f>SQRT($B$75*U97*(1+0.0006*$B$38/((1-0.0006)*$B$37)))</f>
        <v>3.0824778424636037</v>
      </c>
      <c r="X97" s="112">
        <f t="shared" ref="X97:X135" si="13">SQRT(U97*$B$16*$B$38/((1-$B$16)*$B$37))</f>
        <v>6.3250819924432546</v>
      </c>
    </row>
    <row r="98" spans="1:24" x14ac:dyDescent="0.2">
      <c r="A98" s="40" t="s">
        <v>191</v>
      </c>
      <c r="B98" s="145" t="s">
        <v>4</v>
      </c>
      <c r="C98" s="137">
        <f t="shared" si="0"/>
        <v>25.026622590296267</v>
      </c>
      <c r="D98" s="37">
        <f>'Arbitrary Wavelength'!F21*E98</f>
        <v>1938.8735962895271</v>
      </c>
      <c r="E98" s="37">
        <v>2</v>
      </c>
      <c r="F98" s="138">
        <f t="shared" si="1"/>
        <v>3.7875333488883123</v>
      </c>
      <c r="G98" s="37">
        <f>'Arbitrary Wavelength'!H21*H98</f>
        <v>321.27082788885025</v>
      </c>
      <c r="H98" s="139">
        <v>1</v>
      </c>
      <c r="I98" s="127">
        <f t="shared" si="2"/>
        <v>3.6668903748228075E-15</v>
      </c>
      <c r="J98" s="118">
        <f t="shared" si="3"/>
        <v>2.4925503978339291E-13</v>
      </c>
      <c r="K98" s="118">
        <v>1</v>
      </c>
      <c r="L98" s="118">
        <f t="shared" si="4"/>
        <v>0.47142636842296504</v>
      </c>
      <c r="M98" s="118">
        <f t="shared" si="5"/>
        <v>282.85582105377904</v>
      </c>
      <c r="N98" s="119">
        <f t="shared" si="6"/>
        <v>16.818318020949036</v>
      </c>
      <c r="O98" s="111">
        <f>SQRT($B$75*M98*(1+0.1337*$D$38/((1-0.1337)*$D$37)))</f>
        <v>0.83403324813548152</v>
      </c>
      <c r="P98" s="111">
        <f t="shared" si="12"/>
        <v>3.4330247902650122</v>
      </c>
      <c r="Q98" s="117">
        <f t="shared" si="7"/>
        <v>7.3056407053604944E-15</v>
      </c>
      <c r="R98" s="118">
        <f t="shared" si="8"/>
        <v>8.1311050486591766E-13</v>
      </c>
      <c r="S98" s="118">
        <v>1</v>
      </c>
      <c r="T98" s="118">
        <f t="shared" si="9"/>
        <v>4.0148531380025121</v>
      </c>
      <c r="U98" s="111">
        <f t="shared" si="10"/>
        <v>2408.9118828015071</v>
      </c>
      <c r="V98" s="120">
        <f t="shared" si="11"/>
        <v>49.080667098171219</v>
      </c>
      <c r="W98" s="111">
        <f>SQRT($B$75*U98*(1+0.0006*$B$38/((1-0.0006)*$B$37)))</f>
        <v>2.4039568249453862</v>
      </c>
      <c r="X98" s="112">
        <f t="shared" si="13"/>
        <v>4.9327926431810694</v>
      </c>
    </row>
    <row r="99" spans="1:24" x14ac:dyDescent="0.2">
      <c r="A99" s="56" t="s">
        <v>214</v>
      </c>
      <c r="B99" s="145" t="s">
        <v>4</v>
      </c>
      <c r="C99" s="137">
        <f t="shared" si="0"/>
        <v>20.554724858755453</v>
      </c>
      <c r="D99" s="37">
        <f>'Arbitrary Wavelength'!F50*E99</f>
        <v>1526.9528131744171</v>
      </c>
      <c r="E99" s="140">
        <v>2</v>
      </c>
      <c r="F99" s="138">
        <f t="shared" si="1"/>
        <v>2.8245834227770383</v>
      </c>
      <c r="G99" s="37">
        <f>'Arbitrary Wavelength'!H50*H99</f>
        <v>237.18746317983027</v>
      </c>
      <c r="H99" s="139">
        <v>1</v>
      </c>
      <c r="I99" s="127">
        <f t="shared" si="2"/>
        <v>2.7071876755136393E-15</v>
      </c>
      <c r="J99" s="118">
        <f t="shared" si="3"/>
        <v>1.8401972864920186E-13</v>
      </c>
      <c r="K99" s="118">
        <v>1</v>
      </c>
      <c r="L99" s="118">
        <f t="shared" si="4"/>
        <v>0.3480441256901427</v>
      </c>
      <c r="M99" s="118">
        <f t="shared" si="5"/>
        <v>208.82647541408562</v>
      </c>
      <c r="N99" s="119">
        <f t="shared" si="6"/>
        <v>14.450829575290328</v>
      </c>
      <c r="O99" s="111">
        <f>SQRT($B$75*M99*(1+0.1337*$D$38/((1-0.1337)*$D$37)))</f>
        <v>0.71662768618829875</v>
      </c>
      <c r="P99" s="111">
        <f t="shared" si="12"/>
        <v>2.9497632349484539</v>
      </c>
      <c r="Q99" s="117">
        <f t="shared" si="7"/>
        <v>5.7535306316203693E-15</v>
      </c>
      <c r="R99" s="118">
        <f t="shared" si="8"/>
        <v>6.4036220576871545E-13</v>
      </c>
      <c r="S99" s="118">
        <v>1</v>
      </c>
      <c r="T99" s="118">
        <f t="shared" si="9"/>
        <v>3.1618829124741055</v>
      </c>
      <c r="U99" s="111">
        <f t="shared" si="10"/>
        <v>1897.1297474844632</v>
      </c>
      <c r="V99" s="120">
        <f t="shared" si="11"/>
        <v>43.556052937387051</v>
      </c>
      <c r="W99" s="111">
        <f>SQRT($B$75*U99*(1+0.0006*$B$38/((1-0.0006)*$B$37)))</f>
        <v>2.1333628273038605</v>
      </c>
      <c r="X99" s="112">
        <f t="shared" si="13"/>
        <v>4.3775480285506072</v>
      </c>
    </row>
    <row r="100" spans="1:24" x14ac:dyDescent="0.2">
      <c r="A100" s="43" t="s">
        <v>197</v>
      </c>
      <c r="B100" s="145" t="s">
        <v>1118</v>
      </c>
      <c r="C100" s="137">
        <f t="shared" si="0"/>
        <v>35.83320066948562</v>
      </c>
      <c r="D100" s="37">
        <v>3058.73</v>
      </c>
      <c r="E100" s="37" t="s">
        <v>1060</v>
      </c>
      <c r="F100" s="138">
        <f t="shared" si="1"/>
        <v>1.5345786796473715</v>
      </c>
      <c r="G100" s="37">
        <v>127.5</v>
      </c>
      <c r="H100" s="139">
        <v>1</v>
      </c>
      <c r="I100" s="127">
        <f t="shared" si="2"/>
        <v>1.4552473558279571E-15</v>
      </c>
      <c r="J100" s="118">
        <f t="shared" si="3"/>
        <v>9.891971138872746E-14</v>
      </c>
      <c r="K100" s="118">
        <v>1</v>
      </c>
      <c r="L100" s="118">
        <f t="shared" si="4"/>
        <v>0.18709094245781685</v>
      </c>
      <c r="M100" s="118">
        <f t="shared" si="5"/>
        <v>112.25456547469011</v>
      </c>
      <c r="N100" s="119">
        <f t="shared" si="6"/>
        <v>10.595025506089645</v>
      </c>
      <c r="O100" s="111">
        <f>SQRT($B$75*M100*(1+0.1337*$D$38/((1-0.1337)*$D$37)))</f>
        <v>0.5254154146636586</v>
      </c>
      <c r="P100" s="111">
        <f>SQRT(M100*0.568*$D$38/((1-0.586)*$D$37))</f>
        <v>5.0664105416775342</v>
      </c>
      <c r="Q100" s="117">
        <f t="shared" si="7"/>
        <v>1.1525239416056515E-14</v>
      </c>
      <c r="R100" s="118">
        <f t="shared" si="8"/>
        <v>1.282747621767674E-12</v>
      </c>
      <c r="S100" s="118">
        <v>1</v>
      </c>
      <c r="T100" s="118">
        <f t="shared" si="9"/>
        <v>6.3337557240985971</v>
      </c>
      <c r="U100" s="111">
        <f t="shared" si="10"/>
        <v>3800.2534344591581</v>
      </c>
      <c r="V100" s="120">
        <f t="shared" si="11"/>
        <v>61.646195620323226</v>
      </c>
      <c r="W100" s="111">
        <f>SQRT($B$75*U100*(1+0.0006*$B$38/((1-0.0006)*$B$37)))</f>
        <v>3.0194127638276584</v>
      </c>
      <c r="X100" s="112">
        <f>SQRT(U100*0.0017*$B$38/((1-0.0017)*$B$37))</f>
        <v>2.5439009952129474</v>
      </c>
    </row>
    <row r="101" spans="1:24" x14ac:dyDescent="0.2">
      <c r="A101" s="43" t="s">
        <v>198</v>
      </c>
      <c r="B101" s="145" t="s">
        <v>1118</v>
      </c>
      <c r="C101" s="137">
        <f t="shared" si="0"/>
        <v>34.326688829094707</v>
      </c>
      <c r="D101" s="37">
        <v>2890.5</v>
      </c>
      <c r="E101" s="37" t="s">
        <v>1060</v>
      </c>
      <c r="F101" s="138">
        <f t="shared" si="1"/>
        <v>1.4666872156569073</v>
      </c>
      <c r="G101" s="37">
        <v>121.73</v>
      </c>
      <c r="H101" s="139">
        <v>1</v>
      </c>
      <c r="I101" s="127">
        <f t="shared" si="2"/>
        <v>1.3893902794112725E-15</v>
      </c>
      <c r="J101" s="118">
        <f t="shared" si="3"/>
        <v>9.4443109547841534E-14</v>
      </c>
      <c r="K101" s="118">
        <v>1</v>
      </c>
      <c r="L101" s="118">
        <f t="shared" si="4"/>
        <v>0.1786241601991376</v>
      </c>
      <c r="M101" s="118">
        <f t="shared" si="5"/>
        <v>107.17449611948255</v>
      </c>
      <c r="N101" s="119">
        <f t="shared" si="6"/>
        <v>10.352511585092893</v>
      </c>
      <c r="O101" s="111">
        <f>SQRT($B$75*M101*(1+0.1337*$D$38/((1-0.1337)*$D$37)))</f>
        <v>0.51338896392137578</v>
      </c>
      <c r="P101" s="111">
        <f>SQRT(M101*0.5616*$D$38/((1-0.5616)*$D$37))</f>
        <v>4.7835286211441845</v>
      </c>
      <c r="Q101" s="117">
        <f t="shared" si="7"/>
        <v>1.0891351813370698E-14</v>
      </c>
      <c r="R101" s="118">
        <f t="shared" si="8"/>
        <v>1.2121965654763451E-12</v>
      </c>
      <c r="S101" s="118">
        <v>1</v>
      </c>
      <c r="T101" s="118">
        <f t="shared" si="9"/>
        <v>5.9853994698803064</v>
      </c>
      <c r="U101" s="111">
        <f t="shared" si="10"/>
        <v>3591.2396819281839</v>
      </c>
      <c r="V101" s="120">
        <f t="shared" si="11"/>
        <v>59.926952883724901</v>
      </c>
      <c r="W101" s="111">
        <f>SQRT($B$75*U101*(1+0.0006*$B$38/((1-0.0006)*$B$37)))</f>
        <v>2.9352047537344679</v>
      </c>
      <c r="X101" s="112">
        <f>SQRT(U101*0.0017*$B$38/((1-0.0017)*$B$37))</f>
        <v>2.4729544710254396</v>
      </c>
    </row>
    <row r="102" spans="1:24" x14ac:dyDescent="0.2">
      <c r="A102" s="45" t="s">
        <v>187</v>
      </c>
      <c r="B102" s="145" t="s">
        <v>4</v>
      </c>
      <c r="C102" s="137">
        <f t="shared" si="0"/>
        <v>17.086868557263589</v>
      </c>
      <c r="D102" s="37">
        <f>'Arbitrary Wavelength'!F25*E102</f>
        <v>1228.379320082247</v>
      </c>
      <c r="E102" s="37">
        <v>2</v>
      </c>
      <c r="F102" s="138">
        <f t="shared" si="1"/>
        <v>1.9105913781857158</v>
      </c>
      <c r="G102" s="37">
        <f>'Arbitrary Wavelength'!H25*H102</f>
        <v>158.90917754242929</v>
      </c>
      <c r="H102" s="139">
        <v>1</v>
      </c>
      <c r="I102" s="127">
        <f t="shared" si="2"/>
        <v>1.8137424347875737E-15</v>
      </c>
      <c r="J102" s="118">
        <f t="shared" si="3"/>
        <v>1.2328823513346791E-13</v>
      </c>
      <c r="K102" s="118">
        <v>1</v>
      </c>
      <c r="L102" s="118">
        <f t="shared" si="4"/>
        <v>0.23318013954203637</v>
      </c>
      <c r="M102" s="118">
        <f t="shared" si="5"/>
        <v>139.90808372522181</v>
      </c>
      <c r="N102" s="119">
        <f t="shared" si="6"/>
        <v>11.828274756921308</v>
      </c>
      <c r="O102" s="111">
        <f>SQRT($B$75*M102*(1+0.1337*$D$38/((1-0.1337)*$D$37)))</f>
        <v>0.58657318782210321</v>
      </c>
      <c r="P102" s="111">
        <f t="shared" si="12"/>
        <v>2.4144364743249946</v>
      </c>
      <c r="Q102" s="117">
        <f t="shared" si="7"/>
        <v>4.6285111002542275E-15</v>
      </c>
      <c r="R102" s="118">
        <f t="shared" si="8"/>
        <v>5.1514865694719523E-13</v>
      </c>
      <c r="S102" s="118">
        <v>1</v>
      </c>
      <c r="T102" s="118">
        <f t="shared" si="9"/>
        <v>2.5436225328601321</v>
      </c>
      <c r="U102" s="111">
        <f t="shared" si="10"/>
        <v>1526.1735197160792</v>
      </c>
      <c r="V102" s="120">
        <f t="shared" si="11"/>
        <v>39.066270870356682</v>
      </c>
      <c r="W102" s="111">
        <f>SQRT($B$75*U102*(1+0.0006*$B$38/((1-0.0006)*$B$37)))</f>
        <v>1.9134546051730086</v>
      </c>
      <c r="X102" s="112">
        <f t="shared" si="13"/>
        <v>3.9263079525867881</v>
      </c>
    </row>
    <row r="103" spans="1:24" x14ac:dyDescent="0.2">
      <c r="A103" s="56" t="s">
        <v>213</v>
      </c>
      <c r="B103" s="145" t="s">
        <v>4</v>
      </c>
      <c r="C103" s="137">
        <f t="shared" si="0"/>
        <v>12.962630503417946</v>
      </c>
      <c r="D103" s="37">
        <f>'Arbitrary Wavelength'!F49*E103</f>
        <v>896.03574785196179</v>
      </c>
      <c r="E103" s="140">
        <v>2</v>
      </c>
      <c r="F103" s="138">
        <f t="shared" si="1"/>
        <v>1.5765219268369635</v>
      </c>
      <c r="G103" s="37">
        <f>'Arbitrary Wavelength'!H49*H103</f>
        <v>130.66577930757904</v>
      </c>
      <c r="H103" s="139">
        <v>1</v>
      </c>
      <c r="I103" s="127">
        <f t="shared" si="2"/>
        <v>1.4913806261533634E-15</v>
      </c>
      <c r="J103" s="118">
        <f t="shared" si="3"/>
        <v>1.0137585237246179E-13</v>
      </c>
      <c r="K103" s="118">
        <v>1</v>
      </c>
      <c r="L103" s="118">
        <f t="shared" si="4"/>
        <v>0.19173634351090255</v>
      </c>
      <c r="M103" s="118">
        <f t="shared" si="5"/>
        <v>115.04180610654153</v>
      </c>
      <c r="N103" s="119">
        <f t="shared" si="6"/>
        <v>10.725754337413361</v>
      </c>
      <c r="O103" s="111">
        <f>SQRT($B$75*M103*(1+0.1337*$D$38/((1-0.1337)*$D$37)))</f>
        <v>0.53189835735020219</v>
      </c>
      <c r="P103" s="111">
        <f t="shared" si="12"/>
        <v>2.1893854360921843</v>
      </c>
      <c r="Q103" s="117">
        <f t="shared" si="7"/>
        <v>3.3762465203986972E-15</v>
      </c>
      <c r="R103" s="118">
        <f t="shared" si="8"/>
        <v>3.7577286147385459E-13</v>
      </c>
      <c r="S103" s="118">
        <v>1</v>
      </c>
      <c r="T103" s="118">
        <f t="shared" si="9"/>
        <v>1.8554339699660745</v>
      </c>
      <c r="U103" s="111">
        <f t="shared" si="10"/>
        <v>1113.2603819796448</v>
      </c>
      <c r="V103" s="120">
        <f t="shared" si="11"/>
        <v>33.365556821063912</v>
      </c>
      <c r="W103" s="111">
        <f>SQRT($B$75*U103*(1+0.0006*$B$38/((1-0.0006)*$B$37)))</f>
        <v>1.6342352861191722</v>
      </c>
      <c r="X103" s="112">
        <f t="shared" si="13"/>
        <v>3.3533646332349178</v>
      </c>
    </row>
    <row r="104" spans="1:24" x14ac:dyDescent="0.2">
      <c r="A104" s="40" t="s">
        <v>195</v>
      </c>
      <c r="B104" s="145" t="s">
        <v>4</v>
      </c>
      <c r="C104" s="137">
        <f t="shared" si="0"/>
        <v>15.380588029233103</v>
      </c>
      <c r="D104" s="37">
        <f>'Arbitrary Wavelength'!F26*E104</f>
        <v>1087.9419835018498</v>
      </c>
      <c r="E104" s="37">
        <v>2</v>
      </c>
      <c r="F104" s="138">
        <f t="shared" si="1"/>
        <v>1.3964520161319127</v>
      </c>
      <c r="G104" s="37">
        <f>'Arbitrary Wavelength'!H26*H104</f>
        <v>115.52311346749178</v>
      </c>
      <c r="H104" s="139">
        <v>1</v>
      </c>
      <c r="I104" s="127">
        <f t="shared" si="2"/>
        <v>1.3185467091025923E-15</v>
      </c>
      <c r="J104" s="118">
        <f t="shared" si="3"/>
        <v>8.9627553277894149E-14</v>
      </c>
      <c r="K104" s="118">
        <v>1</v>
      </c>
      <c r="L104" s="118">
        <f t="shared" si="4"/>
        <v>0.16951629940623023</v>
      </c>
      <c r="M104" s="118">
        <f t="shared" si="5"/>
        <v>101.70977964373813</v>
      </c>
      <c r="N104" s="119">
        <f t="shared" si="6"/>
        <v>10.085126654818874</v>
      </c>
      <c r="O104" s="111">
        <f>SQRT($B$75*M104*(1+0.1337*$D$38/((1-0.1337)*$D$37)))</f>
        <v>0.50012914081533522</v>
      </c>
      <c r="P104" s="111">
        <f t="shared" si="12"/>
        <v>2.0586178579706713</v>
      </c>
      <c r="Q104" s="117">
        <f t="shared" si="7"/>
        <v>4.0993457515498993E-15</v>
      </c>
      <c r="R104" s="118">
        <f t="shared" si="8"/>
        <v>4.5625308280175222E-13</v>
      </c>
      <c r="S104" s="118">
        <v>1</v>
      </c>
      <c r="T104" s="118">
        <f t="shared" si="9"/>
        <v>2.2528169421596611</v>
      </c>
      <c r="U104" s="111">
        <f t="shared" si="10"/>
        <v>1351.6901652957968</v>
      </c>
      <c r="V104" s="120">
        <f t="shared" si="11"/>
        <v>36.765339183744743</v>
      </c>
      <c r="W104" s="111">
        <f>SQRT($B$75*U104*(1+0.0006*$B$38/((1-0.0006)*$B$37)))</f>
        <v>1.8007556391891095</v>
      </c>
      <c r="X104" s="112">
        <f t="shared" si="13"/>
        <v>3.6950556170494724</v>
      </c>
    </row>
    <row r="105" spans="1:24" x14ac:dyDescent="0.2">
      <c r="A105" s="40" t="s">
        <v>201</v>
      </c>
      <c r="B105" s="145" t="s">
        <v>4</v>
      </c>
      <c r="C105" s="137">
        <f t="shared" si="0"/>
        <v>8.4240253226427573</v>
      </c>
      <c r="D105" s="37">
        <f>'Arbitrary Wavelength'!F38*E105</f>
        <v>557.58013981103636</v>
      </c>
      <c r="E105" s="37">
        <v>2</v>
      </c>
      <c r="F105" s="138">
        <f t="shared" si="1"/>
        <v>1.2205435257624797</v>
      </c>
      <c r="G105" s="37">
        <f>'Arbitrary Wavelength'!H38*H105</f>
        <v>100.78503803387537</v>
      </c>
      <c r="H105" s="139">
        <v>1</v>
      </c>
      <c r="I105" s="127">
        <f t="shared" si="2"/>
        <v>1.1503306674966057E-15</v>
      </c>
      <c r="J105" s="118">
        <f t="shared" si="3"/>
        <v>7.819315195774801E-14</v>
      </c>
      <c r="K105" s="118">
        <v>1</v>
      </c>
      <c r="L105" s="118">
        <f t="shared" si="4"/>
        <v>0.14788994314827181</v>
      </c>
      <c r="M105" s="118">
        <f t="shared" si="5"/>
        <v>88.733965888963084</v>
      </c>
      <c r="N105" s="119">
        <f t="shared" si="6"/>
        <v>9.4198708000143547</v>
      </c>
      <c r="O105" s="111">
        <f>SQRT($B$75*M105*(1+0.1337*$D$38/((1-0.1337)*$D$37)))</f>
        <v>0.46713859439252176</v>
      </c>
      <c r="P105" s="111">
        <f t="shared" si="12"/>
        <v>1.9228230752481612</v>
      </c>
      <c r="Q105" s="117">
        <f t="shared" si="7"/>
        <v>2.1009518999586294E-15</v>
      </c>
      <c r="R105" s="118">
        <f t="shared" si="8"/>
        <v>2.3383384551349547E-13</v>
      </c>
      <c r="S105" s="118">
        <v>1</v>
      </c>
      <c r="T105" s="118">
        <f t="shared" si="9"/>
        <v>1.1545891275698892</v>
      </c>
      <c r="U105" s="111">
        <f t="shared" si="10"/>
        <v>692.75347654193354</v>
      </c>
      <c r="V105" s="120">
        <f t="shared" si="11"/>
        <v>26.320210419788317</v>
      </c>
      <c r="W105" s="111">
        <f>SQRT($B$75*U105*(1+0.0006*$B$38/((1-0.0006)*$B$37)))</f>
        <v>1.2891562648504911</v>
      </c>
      <c r="X105" s="112">
        <f t="shared" si="13"/>
        <v>2.6452806777466802</v>
      </c>
    </row>
    <row r="106" spans="1:24" ht="17" x14ac:dyDescent="0.2">
      <c r="A106" s="56" t="s">
        <v>215</v>
      </c>
      <c r="B106" s="145" t="s">
        <v>1118</v>
      </c>
      <c r="C106" s="137">
        <f t="shared" si="0"/>
        <v>12.811259928685331</v>
      </c>
      <c r="D106" s="37">
        <v>883.42</v>
      </c>
      <c r="E106" s="140" t="s">
        <v>1060</v>
      </c>
      <c r="F106" s="138">
        <f t="shared" si="1"/>
        <v>1.0247942574007147</v>
      </c>
      <c r="G106" s="37">
        <v>84.51</v>
      </c>
      <c r="H106" s="139">
        <v>1</v>
      </c>
      <c r="I106" s="127">
        <f t="shared" si="2"/>
        <v>9.6457218855702491E-16</v>
      </c>
      <c r="J106" s="118">
        <f t="shared" si="3"/>
        <v>6.5566312231069489E-14</v>
      </c>
      <c r="K106" s="118">
        <v>1</v>
      </c>
      <c r="L106" s="118">
        <f t="shared" si="4"/>
        <v>0.12400827880086357</v>
      </c>
      <c r="M106" s="118">
        <f t="shared" si="5"/>
        <v>74.404967280518136</v>
      </c>
      <c r="N106" s="119">
        <f t="shared" si="6"/>
        <v>8.6258313964810451</v>
      </c>
      <c r="O106" s="111">
        <f>SQRT($B$75*M106*(1+0.1337*$D$38/((1-0.1337)*$D$37)))</f>
        <v>0.4277615733342009</v>
      </c>
      <c r="P106" s="111">
        <f>SQRT(M106*0.4043*$D$38/((1-0.4043)*$D$37))</f>
        <v>2.9011047521260442</v>
      </c>
      <c r="Q106" s="117">
        <f t="shared" si="7"/>
        <v>3.328710610263948E-15</v>
      </c>
      <c r="R106" s="118">
        <f t="shared" si="8"/>
        <v>3.7048216221176713E-13</v>
      </c>
      <c r="S106" s="118">
        <v>1</v>
      </c>
      <c r="T106" s="118">
        <f t="shared" si="9"/>
        <v>1.8293103614190143</v>
      </c>
      <c r="U106" s="111">
        <f t="shared" si="10"/>
        <v>1097.5862168514086</v>
      </c>
      <c r="V106" s="120">
        <f t="shared" si="11"/>
        <v>33.129838768871309</v>
      </c>
      <c r="W106" s="111">
        <f>SQRT($B$75*U106*(1+0.0006*$B$38/((1-0.0006)*$B$37)))</f>
        <v>1.6226898843584785</v>
      </c>
      <c r="X106" s="112">
        <f>SQRT(U106*0.0019*$B$38/((1-0.0019)*$B$37))</f>
        <v>1.4454700415212531</v>
      </c>
    </row>
    <row r="107" spans="1:24" x14ac:dyDescent="0.2">
      <c r="A107" s="40" t="s">
        <v>196</v>
      </c>
      <c r="B107" s="145" t="s">
        <v>4</v>
      </c>
      <c r="C107" s="137">
        <f t="shared" si="0"/>
        <v>10.511467549204347</v>
      </c>
      <c r="D107" s="37">
        <f>'Arbitrary Wavelength'!F31*E107</f>
        <v>709.78774461437069</v>
      </c>
      <c r="E107" s="37">
        <v>2</v>
      </c>
      <c r="F107" s="138">
        <f t="shared" si="1"/>
        <v>1.1280776382289615</v>
      </c>
      <c r="G107" s="37">
        <f>'Arbitrary Wavelength'!H31*H107</f>
        <v>93.059607759397522</v>
      </c>
      <c r="H107" s="139">
        <v>1</v>
      </c>
      <c r="I107" s="127">
        <f t="shared" si="2"/>
        <v>1.0621548872647067E-15</v>
      </c>
      <c r="J107" s="118">
        <f t="shared" si="3"/>
        <v>7.2199447384374801E-14</v>
      </c>
      <c r="K107" s="118">
        <v>1</v>
      </c>
      <c r="L107" s="118">
        <f t="shared" si="4"/>
        <v>0.13655380172910156</v>
      </c>
      <c r="M107" s="118">
        <f t="shared" si="5"/>
        <v>81.932281037460939</v>
      </c>
      <c r="N107" s="119">
        <f t="shared" si="6"/>
        <v>9.0516452116430717</v>
      </c>
      <c r="O107" s="111">
        <f>SQRT($B$75*M107*(1+0.1337*$D$38/((1-0.1337)*$D$37)))</f>
        <v>0.44887800595951916</v>
      </c>
      <c r="P107" s="111">
        <f t="shared" si="12"/>
        <v>1.8476593417693477</v>
      </c>
      <c r="Q107" s="117">
        <f t="shared" si="7"/>
        <v>2.6744674068202815E-15</v>
      </c>
      <c r="R107" s="118">
        <f t="shared" si="8"/>
        <v>2.9766554791169049E-13</v>
      </c>
      <c r="S107" s="118">
        <v>1</v>
      </c>
      <c r="T107" s="118">
        <f t="shared" si="9"/>
        <v>1.4697675801219143</v>
      </c>
      <c r="U107" s="111">
        <f t="shared" si="10"/>
        <v>881.86054807314861</v>
      </c>
      <c r="V107" s="120">
        <f t="shared" si="11"/>
        <v>29.696136921713379</v>
      </c>
      <c r="W107" s="111">
        <f>SQRT($B$75*U107*(1+0.0006*$B$38/((1-0.0006)*$B$37)))</f>
        <v>1.4545081647866502</v>
      </c>
      <c r="X107" s="112">
        <f t="shared" si="13"/>
        <v>2.9845740573437238</v>
      </c>
    </row>
    <row r="108" spans="1:24" x14ac:dyDescent="0.2">
      <c r="A108" s="40" t="s">
        <v>199</v>
      </c>
      <c r="B108" s="145" t="s">
        <v>1118</v>
      </c>
      <c r="C108" s="137">
        <f t="shared" si="0"/>
        <v>51.164766589352844</v>
      </c>
      <c r="D108" s="37">
        <v>5043.8599999999997</v>
      </c>
      <c r="E108" s="37" t="s">
        <v>1060</v>
      </c>
      <c r="F108" s="138">
        <f t="shared" si="1"/>
        <v>0.91842561016660407</v>
      </c>
      <c r="G108" s="37">
        <v>81.17</v>
      </c>
      <c r="H108" s="139">
        <v>1</v>
      </c>
      <c r="I108" s="127">
        <f t="shared" si="2"/>
        <v>9.2645041468670845E-16</v>
      </c>
      <c r="J108" s="118">
        <f t="shared" si="3"/>
        <v>6.297500371312166E-14</v>
      </c>
      <c r="K108" s="118">
        <v>1</v>
      </c>
      <c r="L108" s="118">
        <f t="shared" si="4"/>
        <v>0.11910722979843923</v>
      </c>
      <c r="M108" s="118">
        <f t="shared" si="5"/>
        <v>71.464337879063535</v>
      </c>
      <c r="N108" s="119">
        <f t="shared" si="6"/>
        <v>8.4536582542153624</v>
      </c>
      <c r="O108" s="111">
        <f>SQRT($B$75*M108*(1+0.1337*$D$38/((1-0.1337)*$D$37)))</f>
        <v>0.41922337558418377</v>
      </c>
      <c r="P108" s="111">
        <f>SQRT(M108*0.979*$D$38/((1-0.979)*$D$37))</f>
        <v>23.564094758225451</v>
      </c>
      <c r="Q108" s="117">
        <f t="shared" si="7"/>
        <v>1.900517341546028E-14</v>
      </c>
      <c r="R108" s="118">
        <f t="shared" si="8"/>
        <v>2.1152567959673134E-12</v>
      </c>
      <c r="S108" s="118">
        <v>1</v>
      </c>
      <c r="T108" s="118">
        <f t="shared" si="9"/>
        <v>10.444392655302021</v>
      </c>
      <c r="U108" s="111">
        <f t="shared" si="10"/>
        <v>6266.6355931812132</v>
      </c>
      <c r="V108" s="120">
        <f t="shared" si="11"/>
        <v>79.162084315543467</v>
      </c>
      <c r="W108" s="111">
        <f>SQRT($B$75*U108*(1+0.0006*$B$38/((1-0.0006)*$B$37)))</f>
        <v>3.8773359067555058</v>
      </c>
      <c r="X108" s="112">
        <f>SQRT(U108*0.022*$B$38/((1-0.022)*$B$37))</f>
        <v>11.872963523581516</v>
      </c>
    </row>
    <row r="109" spans="1:24" x14ac:dyDescent="0.2">
      <c r="A109" s="40" t="s">
        <v>982</v>
      </c>
      <c r="B109" s="145" t="s">
        <v>4</v>
      </c>
      <c r="C109" s="137">
        <f t="shared" si="0"/>
        <v>10.642914987401957</v>
      </c>
      <c r="D109" s="37">
        <f>'Arbitrary Wavelength'!F30*E109</f>
        <v>719.56762702855337</v>
      </c>
      <c r="E109" s="37">
        <v>2</v>
      </c>
      <c r="F109" s="138">
        <f t="shared" si="1"/>
        <v>1.0562004894232024</v>
      </c>
      <c r="G109" s="37">
        <f>'Arbitrary Wavelength'!H30*H109</f>
        <v>87.064611701067804</v>
      </c>
      <c r="H109" s="139">
        <v>1</v>
      </c>
      <c r="I109" s="127">
        <f t="shared" si="2"/>
        <v>9.9372977226797463E-16</v>
      </c>
      <c r="J109" s="118">
        <f t="shared" si="3"/>
        <v>6.754828440502943E-14</v>
      </c>
      <c r="K109" s="118">
        <v>1</v>
      </c>
      <c r="L109" s="118">
        <f t="shared" si="4"/>
        <v>0.12775686476765996</v>
      </c>
      <c r="M109" s="118">
        <f t="shared" si="5"/>
        <v>76.654118860595972</v>
      </c>
      <c r="N109" s="119">
        <f t="shared" si="6"/>
        <v>8.7552337981687263</v>
      </c>
      <c r="O109" s="111">
        <f>SQRT($B$75*M109*(1+0.1337*$D$38/((1-0.1337)*$D$37)))</f>
        <v>0.43417873736104801</v>
      </c>
      <c r="P109" s="111">
        <f t="shared" si="12"/>
        <v>1.7871546153569084</v>
      </c>
      <c r="Q109" s="117">
        <f t="shared" si="7"/>
        <v>2.7113178271857068E-15</v>
      </c>
      <c r="R109" s="118">
        <f t="shared" si="8"/>
        <v>3.0176696284794198E-13</v>
      </c>
      <c r="S109" s="118">
        <v>1</v>
      </c>
      <c r="T109" s="118">
        <f t="shared" si="9"/>
        <v>1.4900189217643089</v>
      </c>
      <c r="U109" s="111">
        <f t="shared" si="10"/>
        <v>894.01135305858531</v>
      </c>
      <c r="V109" s="120">
        <f t="shared" si="11"/>
        <v>29.900022626389188</v>
      </c>
      <c r="W109" s="111">
        <f>SQRT($B$75*U109*(1+0.0006*$B$38/((1-0.0006)*$B$37)))</f>
        <v>1.4644944274078131</v>
      </c>
      <c r="X109" s="112">
        <f t="shared" si="13"/>
        <v>3.0050653416627195</v>
      </c>
    </row>
    <row r="110" spans="1:24" x14ac:dyDescent="0.2">
      <c r="A110" s="40" t="s">
        <v>188</v>
      </c>
      <c r="B110" s="145" t="s">
        <v>4</v>
      </c>
      <c r="C110" s="137">
        <f t="shared" si="0"/>
        <v>9.2370884472756263</v>
      </c>
      <c r="D110" s="37">
        <f>'Arbitrary Wavelength'!F35*E110</f>
        <v>616.17559968932596</v>
      </c>
      <c r="E110" s="37">
        <v>2</v>
      </c>
      <c r="F110" s="138">
        <f t="shared" si="1"/>
        <v>0.96612672991341275</v>
      </c>
      <c r="G110" s="37">
        <f>'Arbitrary Wavelength'!H35*H110</f>
        <v>79.564567774687561</v>
      </c>
      <c r="H110" s="139">
        <v>1</v>
      </c>
      <c r="I110" s="127">
        <f t="shared" si="2"/>
        <v>9.0812648526830113E-16</v>
      </c>
      <c r="J110" s="118">
        <f t="shared" si="3"/>
        <v>6.1729443772870125E-14</v>
      </c>
      <c r="K110" s="118">
        <v>1</v>
      </c>
      <c r="L110" s="118">
        <f t="shared" si="4"/>
        <v>0.11675145075462857</v>
      </c>
      <c r="M110" s="118">
        <f t="shared" si="5"/>
        <v>70.050870452777147</v>
      </c>
      <c r="N110" s="119">
        <f t="shared" si="6"/>
        <v>8.3696398042434978</v>
      </c>
      <c r="O110" s="111">
        <f>SQRT($B$75*M110*(1+0.1337*$D$38/((1-0.1337)*$D$37)))</f>
        <v>0.41505683641861102</v>
      </c>
      <c r="P110" s="111">
        <f t="shared" si="12"/>
        <v>1.7084455709403548</v>
      </c>
      <c r="Q110" s="117">
        <f t="shared" si="7"/>
        <v>2.3217385348663267E-15</v>
      </c>
      <c r="R110" s="118">
        <f t="shared" si="8"/>
        <v>2.5840717719208728E-13</v>
      </c>
      <c r="S110" s="118">
        <v>1</v>
      </c>
      <c r="T110" s="118">
        <f t="shared" si="9"/>
        <v>1.2759235799113207</v>
      </c>
      <c r="U110" s="111">
        <f t="shared" si="10"/>
        <v>765.55414794679234</v>
      </c>
      <c r="V110" s="120">
        <f t="shared" si="11"/>
        <v>27.668649189051358</v>
      </c>
      <c r="W110" s="111">
        <f>SQRT($B$75*U110*(1+0.0006*$B$38/((1-0.0006)*$B$37)))</f>
        <v>1.3552024042786086</v>
      </c>
      <c r="X110" s="112">
        <f t="shared" si="13"/>
        <v>2.7808038732137748</v>
      </c>
    </row>
    <row r="111" spans="1:24" x14ac:dyDescent="0.2">
      <c r="A111" s="40" t="s">
        <v>192</v>
      </c>
      <c r="B111" s="145" t="s">
        <v>4</v>
      </c>
      <c r="C111" s="137">
        <f t="shared" si="0"/>
        <v>10.133258870095696</v>
      </c>
      <c r="D111" s="37">
        <f>'Arbitrary Wavelength'!F32*E111</f>
        <v>681.77842915598865</v>
      </c>
      <c r="E111" s="37">
        <v>2</v>
      </c>
      <c r="F111" s="138">
        <f t="shared" si="1"/>
        <v>0.90951786694636683</v>
      </c>
      <c r="G111" s="37">
        <f>'Arbitrary Wavelength'!H32*H111</f>
        <v>74.858196892105525</v>
      </c>
      <c r="H111" s="139">
        <v>1</v>
      </c>
      <c r="I111" s="127">
        <f t="shared" si="2"/>
        <v>8.5440935756302094E-16</v>
      </c>
      <c r="J111" s="118">
        <f t="shared" si="3"/>
        <v>5.8078048875667565E-14</v>
      </c>
      <c r="K111" s="118">
        <v>1</v>
      </c>
      <c r="L111" s="118">
        <f t="shared" si="4"/>
        <v>0.10984541652734776</v>
      </c>
      <c r="M111" s="118">
        <f t="shared" si="5"/>
        <v>65.907249916408659</v>
      </c>
      <c r="N111" s="119">
        <f t="shared" si="6"/>
        <v>8.118328024686404</v>
      </c>
      <c r="O111" s="111">
        <f>SQRT($B$75*M111*(1+0.1337*$D$38/((1-0.1337)*$D$37)))</f>
        <v>0.40259409314442463</v>
      </c>
      <c r="P111" s="111">
        <f t="shared" si="12"/>
        <v>1.6571467687515473</v>
      </c>
      <c r="Q111" s="117">
        <f t="shared" si="7"/>
        <v>2.5689288118682245E-15</v>
      </c>
      <c r="R111" s="118">
        <f t="shared" si="8"/>
        <v>2.8591920783212151E-13</v>
      </c>
      <c r="S111" s="118">
        <v>1</v>
      </c>
      <c r="T111" s="118">
        <f t="shared" si="9"/>
        <v>1.4117682921453323</v>
      </c>
      <c r="U111" s="111">
        <f t="shared" si="10"/>
        <v>847.06097528719943</v>
      </c>
      <c r="V111" s="120">
        <f t="shared" si="11"/>
        <v>29.104311970689146</v>
      </c>
      <c r="W111" s="111">
        <f>SQRT($B$75*U111*(1+0.0006*$B$38/((1-0.0006)*$B$37)))</f>
        <v>1.4255207505092129</v>
      </c>
      <c r="X111" s="112">
        <f t="shared" si="13"/>
        <v>2.925093411764395</v>
      </c>
    </row>
    <row r="112" spans="1:24" x14ac:dyDescent="0.2">
      <c r="A112" s="40" t="s">
        <v>193</v>
      </c>
      <c r="B112" s="145" t="s">
        <v>4</v>
      </c>
      <c r="C112" s="137">
        <f t="shared" si="0"/>
        <v>7.4570898494937756</v>
      </c>
      <c r="D112" s="37">
        <f>'Arbitrary Wavelength'!F40*E112</f>
        <v>489.0266154843722</v>
      </c>
      <c r="E112" s="37">
        <v>2</v>
      </c>
      <c r="F112" s="138">
        <f t="shared" si="1"/>
        <v>0.76976211254922844</v>
      </c>
      <c r="G112" s="37">
        <f>'Arbitrary Wavelength'!H40*H112</f>
        <v>63.262883046399878</v>
      </c>
      <c r="H112" s="139">
        <v>1</v>
      </c>
      <c r="I112" s="127">
        <f t="shared" si="2"/>
        <v>7.2206386882609188E-16</v>
      </c>
      <c r="J112" s="118">
        <f t="shared" si="3"/>
        <v>4.9081930451519178E-14</v>
      </c>
      <c r="K112" s="118">
        <v>1</v>
      </c>
      <c r="L112" s="118">
        <f t="shared" si="4"/>
        <v>9.2830685582349776E-2</v>
      </c>
      <c r="M112" s="118">
        <f t="shared" si="5"/>
        <v>55.698411349409866</v>
      </c>
      <c r="N112" s="119">
        <f t="shared" si="6"/>
        <v>7.4631368304091721</v>
      </c>
      <c r="O112" s="111">
        <f>SQRT($B$75*M112*(1+0.1337*$D$38/((1-0.1337)*$D$37)))</f>
        <v>0.37010266093151595</v>
      </c>
      <c r="P112" s="111">
        <f t="shared" si="12"/>
        <v>1.523406426256219</v>
      </c>
      <c r="Q112" s="117">
        <f t="shared" si="7"/>
        <v>1.8426434579976656E-15</v>
      </c>
      <c r="R112" s="118">
        <f t="shared" si="8"/>
        <v>2.0508437423168217E-13</v>
      </c>
      <c r="S112" s="118">
        <v>1</v>
      </c>
      <c r="T112" s="118">
        <f t="shared" si="9"/>
        <v>1.0126343695130677</v>
      </c>
      <c r="U112" s="111">
        <f t="shared" si="10"/>
        <v>607.58062170784069</v>
      </c>
      <c r="V112" s="120">
        <f t="shared" si="11"/>
        <v>24.64915052710419</v>
      </c>
      <c r="W112" s="111">
        <f>SQRT($B$75*U112*(1+0.0006*$B$38/((1-0.0006)*$B$37)))</f>
        <v>1.2073082364633585</v>
      </c>
      <c r="X112" s="112">
        <f t="shared" si="13"/>
        <v>2.4773328393756251</v>
      </c>
    </row>
    <row r="113" spans="1:24" x14ac:dyDescent="0.2">
      <c r="A113" s="40" t="s">
        <v>200</v>
      </c>
      <c r="B113" s="145" t="s">
        <v>4</v>
      </c>
      <c r="C113" s="137">
        <f t="shared" si="0"/>
        <v>9.9849107133375998</v>
      </c>
      <c r="D113" s="37">
        <f>'Arbitrary Wavelength'!F34*E113</f>
        <v>670.84461264003551</v>
      </c>
      <c r="E113" s="37">
        <v>2</v>
      </c>
      <c r="F113" s="138">
        <f t="shared" si="1"/>
        <v>0.74976406255831718</v>
      </c>
      <c r="G113" s="37">
        <f>'Arbitrary Wavelength'!H34*H113</f>
        <v>61.606439086726937</v>
      </c>
      <c r="H113" s="139">
        <v>1</v>
      </c>
      <c r="I113" s="127">
        <f t="shared" si="2"/>
        <v>7.0315770653282733E-16</v>
      </c>
      <c r="J113" s="118">
        <f t="shared" si="3"/>
        <v>4.7796793522715668E-14</v>
      </c>
      <c r="K113" s="118">
        <v>1</v>
      </c>
      <c r="L113" s="118">
        <f t="shared" si="4"/>
        <v>9.0400052942790812E-2</v>
      </c>
      <c r="M113" s="118">
        <f t="shared" si="5"/>
        <v>54.240031765674487</v>
      </c>
      <c r="N113" s="119">
        <f t="shared" si="6"/>
        <v>7.3647832124017398</v>
      </c>
      <c r="O113" s="111">
        <f>SQRT($B$75*M113*(1+0.1337*$D$38/((1-0.1337)*$D$37)))</f>
        <v>0.36522522982393207</v>
      </c>
      <c r="P113" s="111">
        <f t="shared" si="12"/>
        <v>1.5033300780499839</v>
      </c>
      <c r="Q113" s="117">
        <f t="shared" si="7"/>
        <v>2.5277303886410704E-15</v>
      </c>
      <c r="R113" s="118">
        <f t="shared" si="8"/>
        <v>2.8133386452536247E-13</v>
      </c>
      <c r="S113" s="118">
        <v>1</v>
      </c>
      <c r="T113" s="118">
        <f t="shared" si="9"/>
        <v>1.389127482742684</v>
      </c>
      <c r="U113" s="111">
        <f t="shared" si="10"/>
        <v>833.4764896456104</v>
      </c>
      <c r="V113" s="120">
        <f t="shared" si="11"/>
        <v>28.869992893064772</v>
      </c>
      <c r="W113" s="111">
        <f>SQRT($B$75*U113*(1+0.0006*$B$38/((1-0.0006)*$B$37)))</f>
        <v>1.4140438701167088</v>
      </c>
      <c r="X113" s="112">
        <f t="shared" si="13"/>
        <v>2.9015434583794799</v>
      </c>
    </row>
    <row r="114" spans="1:24" x14ac:dyDescent="0.2">
      <c r="A114" s="40" t="s">
        <v>216</v>
      </c>
      <c r="B114" s="145" t="s">
        <v>4</v>
      </c>
      <c r="C114" s="137">
        <f t="shared" si="0"/>
        <v>5.9717595561294683</v>
      </c>
      <c r="D114" s="37">
        <f>'Arbitrary Wavelength'!F52*E114</f>
        <v>386.08081063385475</v>
      </c>
      <c r="E114" s="140">
        <v>2</v>
      </c>
      <c r="F114" s="138">
        <f t="shared" si="1"/>
        <v>0.61749846661910845</v>
      </c>
      <c r="G114" s="37">
        <f>'Arbitrary Wavelength'!H52*H114</f>
        <v>50.668232263425637</v>
      </c>
      <c r="H114" s="139">
        <v>1</v>
      </c>
      <c r="I114" s="127">
        <f t="shared" si="2"/>
        <v>5.7831224333981926E-16</v>
      </c>
      <c r="J114" s="118">
        <f t="shared" si="3"/>
        <v>3.931048558490254E-14</v>
      </c>
      <c r="K114" s="118">
        <v>1</v>
      </c>
      <c r="L114" s="118">
        <f t="shared" si="4"/>
        <v>7.4349547661457766E-2</v>
      </c>
      <c r="M114" s="118">
        <f t="shared" si="5"/>
        <v>44.60972859687466</v>
      </c>
      <c r="N114" s="119">
        <f t="shared" si="6"/>
        <v>6.6790514743393512</v>
      </c>
      <c r="O114" s="111">
        <f>SQRT($B$75*M114*(1+0.1337*$D$38/((1-0.1337)*$D$37)))</f>
        <v>0.33121926869670332</v>
      </c>
      <c r="P114" s="111">
        <f t="shared" si="12"/>
        <v>1.3633556731595919</v>
      </c>
      <c r="Q114" s="117">
        <f t="shared" si="7"/>
        <v>1.4547455239594059E-15</v>
      </c>
      <c r="R114" s="118">
        <f t="shared" si="8"/>
        <v>1.619117220711579E-13</v>
      </c>
      <c r="S114" s="118">
        <v>1</v>
      </c>
      <c r="T114" s="118">
        <f t="shared" si="9"/>
        <v>0.79946302691535498</v>
      </c>
      <c r="U114" s="111">
        <f t="shared" si="10"/>
        <v>479.67781614921302</v>
      </c>
      <c r="V114" s="120">
        <f t="shared" si="11"/>
        <v>21.901548259180515</v>
      </c>
      <c r="W114" s="111">
        <f>SQRT($B$75*U114*(1+0.0006*$B$38/((1-0.0006)*$B$37)))</f>
        <v>1.0727314750880703</v>
      </c>
      <c r="X114" s="112">
        <f t="shared" si="13"/>
        <v>2.2011884213200985</v>
      </c>
    </row>
    <row r="115" spans="1:24" x14ac:dyDescent="0.2">
      <c r="A115" s="40" t="s">
        <v>205</v>
      </c>
      <c r="B115" s="145" t="s">
        <v>4</v>
      </c>
      <c r="C115" s="137">
        <f t="shared" si="0"/>
        <v>5.314892577879518</v>
      </c>
      <c r="D115" s="37">
        <f>'Arbitrary Wavelength'!F42*E115</f>
        <v>341.45422938737551</v>
      </c>
      <c r="E115" s="37">
        <v>2</v>
      </c>
      <c r="F115" s="138">
        <f t="shared" si="1"/>
        <v>0.49254882423469259</v>
      </c>
      <c r="G115" s="37">
        <f>'Arbitrary Wavelength'!H42*H115</f>
        <v>40.362755803372465</v>
      </c>
      <c r="H115" s="139">
        <v>1</v>
      </c>
      <c r="I115" s="127">
        <f t="shared" si="2"/>
        <v>4.6068857770029263E-16</v>
      </c>
      <c r="J115" s="118">
        <f t="shared" si="3"/>
        <v>3.1315075724888536E-14</v>
      </c>
      <c r="K115" s="118">
        <v>1</v>
      </c>
      <c r="L115" s="118">
        <f t="shared" si="4"/>
        <v>5.9227498223118978E-2</v>
      </c>
      <c r="M115" s="118">
        <f t="shared" si="5"/>
        <v>35.536498933871385</v>
      </c>
      <c r="N115" s="119">
        <f t="shared" si="6"/>
        <v>5.9612497795237021</v>
      </c>
      <c r="O115" s="111">
        <f>SQRT($B$75*M115*(1+0.1337*$D$38/((1-0.1337)*$D$37)))</f>
        <v>0.29562293389684163</v>
      </c>
      <c r="P115" s="111">
        <f t="shared" si="12"/>
        <v>1.216835015759316</v>
      </c>
      <c r="Q115" s="117">
        <f t="shared" si="7"/>
        <v>1.286593371534782E-15</v>
      </c>
      <c r="R115" s="118">
        <f t="shared" si="8"/>
        <v>1.4319655565844968E-13</v>
      </c>
      <c r="S115" s="118">
        <v>1</v>
      </c>
      <c r="T115" s="118">
        <f t="shared" si="9"/>
        <v>0.70705413027627972</v>
      </c>
      <c r="U115" s="111">
        <f t="shared" si="10"/>
        <v>424.23247816576782</v>
      </c>
      <c r="V115" s="120">
        <f t="shared" si="11"/>
        <v>20.596904577284612</v>
      </c>
      <c r="W115" s="111">
        <f>SQRT($B$75*U115*(1+0.0006*$B$38/((1-0.0006)*$B$37)))</f>
        <v>1.0088304063242273</v>
      </c>
      <c r="X115" s="112">
        <f t="shared" si="13"/>
        <v>2.070066797745659</v>
      </c>
    </row>
    <row r="116" spans="1:24" x14ac:dyDescent="0.2">
      <c r="A116" s="40" t="s">
        <v>206</v>
      </c>
      <c r="B116" s="145" t="s">
        <v>4</v>
      </c>
      <c r="C116" s="137">
        <f t="shared" si="0"/>
        <v>0.41213396115856898</v>
      </c>
      <c r="D116" s="37">
        <f>'Arbitrary Wavelength'!F45*E116</f>
        <v>25.259264509494955</v>
      </c>
      <c r="E116" s="37">
        <v>1</v>
      </c>
      <c r="F116" s="138">
        <f t="shared" si="1"/>
        <v>0.14392705510389797</v>
      </c>
      <c r="G116" s="37">
        <f>'Arbitrary Wavelength'!H45*H116</f>
        <v>11.751362035088661</v>
      </c>
      <c r="H116" s="139">
        <v>1</v>
      </c>
      <c r="I116" s="127">
        <f t="shared" si="2"/>
        <v>1.3412657669756718E-16</v>
      </c>
      <c r="J116" s="118">
        <f t="shared" si="3"/>
        <v>9.1171869877287794E-15</v>
      </c>
      <c r="K116" s="118">
        <v>1</v>
      </c>
      <c r="L116" s="118">
        <f t="shared" si="4"/>
        <v>1.7243712927903887E-2</v>
      </c>
      <c r="M116" s="118">
        <f t="shared" si="5"/>
        <v>10.346227756742332</v>
      </c>
      <c r="N116" s="119">
        <f t="shared" si="6"/>
        <v>3.2165552625040243</v>
      </c>
      <c r="O116" s="111">
        <f>SQRT($B$75*M116*(1+0.1337*$D$38/((1-0.1337)*$D$37)))</f>
        <v>0.15951143449968644</v>
      </c>
      <c r="P116" s="111">
        <f t="shared" si="12"/>
        <v>0.65657659354990505</v>
      </c>
      <c r="Q116" s="117">
        <f t="shared" si="7"/>
        <v>9.5176452627537791E-17</v>
      </c>
      <c r="R116" s="118">
        <f t="shared" si="8"/>
        <v>1.0593044000992329E-14</v>
      </c>
      <c r="S116" s="118">
        <v>1</v>
      </c>
      <c r="T116" s="118">
        <f t="shared" si="9"/>
        <v>5.2304718354851266E-2</v>
      </c>
      <c r="U116" s="111">
        <f t="shared" si="10"/>
        <v>31.38283101291076</v>
      </c>
      <c r="V116" s="120">
        <f t="shared" si="11"/>
        <v>5.6020381124114786</v>
      </c>
      <c r="W116" s="111">
        <f>SQRT($B$75*U116*(1+0.0006*$B$38/((1-0.0006)*$B$37)))</f>
        <v>0.27438620031384076</v>
      </c>
      <c r="X116" s="112">
        <f t="shared" si="13"/>
        <v>0.56302601454968726</v>
      </c>
    </row>
    <row r="117" spans="1:24" x14ac:dyDescent="0.2">
      <c r="A117" s="40" t="s">
        <v>202</v>
      </c>
      <c r="B117" s="145" t="s">
        <v>1118</v>
      </c>
      <c r="C117" s="137">
        <f t="shared" si="0"/>
        <v>3.5293000972269204</v>
      </c>
      <c r="D117" s="37">
        <v>223.04</v>
      </c>
      <c r="E117" s="37" t="s">
        <v>1060</v>
      </c>
      <c r="F117" s="138">
        <f t="shared" si="1"/>
        <v>6.9884937277723547E-2</v>
      </c>
      <c r="G117" s="37">
        <v>5.73</v>
      </c>
      <c r="H117" s="139">
        <v>1</v>
      </c>
      <c r="I117" s="127">
        <f t="shared" si="2"/>
        <v>6.540052822662114E-17</v>
      </c>
      <c r="J117" s="118">
        <f t="shared" si="3"/>
        <v>4.4455682059404584E-15</v>
      </c>
      <c r="K117" s="118">
        <v>1</v>
      </c>
      <c r="L117" s="118">
        <f t="shared" si="4"/>
        <v>8.4080870610454168E-3</v>
      </c>
      <c r="M117" s="118">
        <f t="shared" si="5"/>
        <v>5.0448522366272499</v>
      </c>
      <c r="N117" s="119">
        <f t="shared" si="6"/>
        <v>2.2460748510740354</v>
      </c>
      <c r="O117" s="111">
        <f>SQRT($B$75*M117*(1+0.1337*$D$38/((1-0.1337)*$D$37)))</f>
        <v>0.11138456897195644</v>
      </c>
      <c r="P117" s="111">
        <f>SQRT(M117*0.9772*$D$38/((1-0.9772)*$D$37))</f>
        <v>6.0030630617245695</v>
      </c>
      <c r="Q117" s="117">
        <f t="shared" si="7"/>
        <v>8.4041069311683111E-16</v>
      </c>
      <c r="R117" s="118">
        <f t="shared" si="8"/>
        <v>9.3536869733210177E-14</v>
      </c>
      <c r="S117" s="118">
        <v>1</v>
      </c>
      <c r="T117" s="118">
        <f t="shared" si="9"/>
        <v>0.46185210093828183</v>
      </c>
      <c r="U117" s="111">
        <f t="shared" si="10"/>
        <v>277.11126056296911</v>
      </c>
      <c r="V117" s="120">
        <f t="shared" si="11"/>
        <v>16.646659141190135</v>
      </c>
      <c r="W117" s="111">
        <f>SQRT($B$75*U117*(1+0.0006*$B$38/((1-0.0006)*$B$37)))</f>
        <v>0.81534853173368171</v>
      </c>
      <c r="X117" s="112">
        <f>SQRT(U117*0.03*$B$38/((1-0.03)*$B$37))</f>
        <v>2.9275333230584413</v>
      </c>
    </row>
    <row r="118" spans="1:24" x14ac:dyDescent="0.2">
      <c r="A118" s="40" t="s">
        <v>203</v>
      </c>
      <c r="B118" s="145" t="s">
        <v>4</v>
      </c>
      <c r="C118" s="137">
        <f t="shared" si="0"/>
        <v>0.20151244009429078</v>
      </c>
      <c r="D118" s="37">
        <f>'Arbitrary Wavelength'!F48*E118</f>
        <v>12.325512215034351</v>
      </c>
      <c r="E118" s="37">
        <v>2</v>
      </c>
      <c r="F118" s="138">
        <f t="shared" si="1"/>
        <v>4.0615107110533316E-2</v>
      </c>
      <c r="G118" s="37">
        <f>'Arbitrary Wavelength'!H48*H118</f>
        <v>3.3125575919956014</v>
      </c>
      <c r="H118" s="139">
        <v>1</v>
      </c>
      <c r="I118" s="127">
        <f t="shared" si="2"/>
        <v>3.7808554327681756E-17</v>
      </c>
      <c r="J118" s="118">
        <f t="shared" si="3"/>
        <v>2.5700175761470033E-15</v>
      </c>
      <c r="K118" s="118">
        <v>1</v>
      </c>
      <c r="L118" s="118">
        <f t="shared" si="4"/>
        <v>4.8607805633902237E-3</v>
      </c>
      <c r="M118" s="118">
        <f t="shared" si="5"/>
        <v>2.9164683380341341</v>
      </c>
      <c r="N118" s="119">
        <f t="shared" si="6"/>
        <v>1.7077670619947365</v>
      </c>
      <c r="O118" s="111">
        <f>SQRT($B$75*M118*(1+0.1337*$D$38/((1-0.1337)*$D$37)))</f>
        <v>8.4689474179290444E-2</v>
      </c>
      <c r="P118" s="111">
        <f t="shared" si="12"/>
        <v>0.34859649178492258</v>
      </c>
      <c r="Q118" s="117">
        <f t="shared" si="7"/>
        <v>4.6442307494875307E-17</v>
      </c>
      <c r="R118" s="118">
        <f t="shared" si="8"/>
        <v>5.1689823818721265E-15</v>
      </c>
      <c r="S118" s="118">
        <v>1</v>
      </c>
      <c r="T118" s="118">
        <f t="shared" si="9"/>
        <v>2.5522613484819188E-2</v>
      </c>
      <c r="U118" s="111">
        <f t="shared" si="10"/>
        <v>15.313568090891513</v>
      </c>
      <c r="V118" s="120">
        <f t="shared" si="11"/>
        <v>3.9132554338927985</v>
      </c>
      <c r="W118" s="111">
        <f>SQRT($B$75*U118*(1+0.0006*$B$38/((1-0.0006)*$B$37)))</f>
        <v>0.19167011502196418</v>
      </c>
      <c r="X118" s="112">
        <f t="shared" si="13"/>
        <v>0.39329696918308582</v>
      </c>
    </row>
    <row r="119" spans="1:24" x14ac:dyDescent="0.2">
      <c r="A119" s="40" t="s">
        <v>204</v>
      </c>
      <c r="B119" s="145" t="s">
        <v>4</v>
      </c>
      <c r="C119" s="137">
        <f t="shared" si="0"/>
        <v>0.39945538671487152</v>
      </c>
      <c r="D119" s="37">
        <f>'Arbitrary Wavelength'!F47*E119</f>
        <v>24.479224565186552</v>
      </c>
      <c r="E119" s="37">
        <v>2</v>
      </c>
      <c r="F119" s="138">
        <f t="shared" si="1"/>
        <v>3.5256400095928682E-2</v>
      </c>
      <c r="G119" s="37">
        <f>'Arbitrary Wavelength'!H47*H119</f>
        <v>2.8753414544562688</v>
      </c>
      <c r="H119" s="139">
        <v>1</v>
      </c>
      <c r="I119" s="127">
        <f t="shared" si="2"/>
        <v>3.2818298421176453E-17</v>
      </c>
      <c r="J119" s="118">
        <f t="shared" si="3"/>
        <v>2.2308074260302584E-15</v>
      </c>
      <c r="K119" s="118">
        <v>1</v>
      </c>
      <c r="L119" s="118">
        <f t="shared" si="4"/>
        <v>4.2192183733510049E-3</v>
      </c>
      <c r="M119" s="118">
        <f t="shared" si="5"/>
        <v>2.531531024010603</v>
      </c>
      <c r="N119" s="119">
        <f t="shared" si="6"/>
        <v>1.5910785725446128</v>
      </c>
      <c r="O119" s="111">
        <f>SQRT($B$75*M119*(1+0.1337*$D$38/((1-0.1337)*$D$37)))</f>
        <v>7.89028027799933E-2</v>
      </c>
      <c r="P119" s="111">
        <f t="shared" si="12"/>
        <v>0.32477755361751087</v>
      </c>
      <c r="Q119" s="117">
        <f t="shared" si="7"/>
        <v>9.2237276200641102E-17</v>
      </c>
      <c r="R119" s="118">
        <f t="shared" si="8"/>
        <v>1.0265916603855154E-14</v>
      </c>
      <c r="S119" s="118">
        <v>1</v>
      </c>
      <c r="T119" s="118">
        <f t="shared" si="9"/>
        <v>5.0689478545424188E-2</v>
      </c>
      <c r="U119" s="111">
        <f t="shared" si="10"/>
        <v>30.413687127254512</v>
      </c>
      <c r="V119" s="120">
        <f t="shared" si="11"/>
        <v>5.5148605718779971</v>
      </c>
      <c r="W119" s="111">
        <f>SQRT($B$75*U119*(1+0.0006*$B$38/((1-0.0006)*$B$37)))</f>
        <v>0.2701162696886471</v>
      </c>
      <c r="X119" s="112">
        <f t="shared" si="13"/>
        <v>0.55426434206194319</v>
      </c>
    </row>
    <row r="120" spans="1:24" x14ac:dyDescent="0.2">
      <c r="A120" s="40" t="s">
        <v>145</v>
      </c>
      <c r="B120" s="145" t="s">
        <v>4</v>
      </c>
      <c r="C120" s="137">
        <f t="shared" si="0"/>
        <v>58.89181367678578</v>
      </c>
      <c r="D120" s="37">
        <f>'Arbitrary Wavelength'!F13*E120</f>
        <v>6166.1512935491273</v>
      </c>
      <c r="E120" s="37">
        <v>2</v>
      </c>
      <c r="F120" s="138">
        <f t="shared" si="1"/>
        <v>10.856794448287337</v>
      </c>
      <c r="G120" s="37">
        <f>'Arbitrary Wavelength'!H13*H120</f>
        <v>991.45020945760916</v>
      </c>
      <c r="H120" s="139">
        <v>1</v>
      </c>
      <c r="I120" s="127">
        <f t="shared" ref="I120:I134" si="14">G120*0.000001*1E-26*3E+21/$D$34^2</f>
        <v>1.131611996665302E-14</v>
      </c>
      <c r="J120" s="118">
        <f t="shared" ref="J120:J135" si="15">I120*$D$39</f>
        <v>7.6920759667325561E-13</v>
      </c>
      <c r="K120" s="118">
        <v>1</v>
      </c>
      <c r="L120" s="118">
        <f t="shared" si="4"/>
        <v>1.4548341497052864</v>
      </c>
      <c r="M120" s="118">
        <f t="shared" ref="M120:M135" si="16">L120*$B$41</f>
        <v>872.90048982317182</v>
      </c>
      <c r="N120" s="119">
        <f t="shared" ref="N120:N134" si="17">SQRT(M120)</f>
        <v>29.544889402791338</v>
      </c>
      <c r="O120" s="111">
        <f>SQRT($B$75*M120*(1+0.1337*$D$38/((1-0.1337)*$D$37)))</f>
        <v>1.4651536523283764</v>
      </c>
      <c r="P120" s="111">
        <f t="shared" si="12"/>
        <v>6.0308252953167329</v>
      </c>
      <c r="Q120" s="117">
        <f t="shared" ref="Q120:Q135" si="18">D120*0.000001*1E-26*3E+21/$B$34^2</f>
        <v>2.3233946747107544E-14</v>
      </c>
      <c r="R120" s="118">
        <f t="shared" ref="R120:R134" si="19">Q120*$B$39</f>
        <v>2.5859150390063225E-12</v>
      </c>
      <c r="S120" s="118">
        <v>1</v>
      </c>
      <c r="T120" s="118">
        <f t="shared" si="9"/>
        <v>12.768337202425435</v>
      </c>
      <c r="U120" s="111">
        <f t="shared" ref="U120:U134" si="20">T120*$B$41</f>
        <v>7661.0023214552612</v>
      </c>
      <c r="V120" s="120">
        <f t="shared" ref="V120:V134" si="21">SQRT(U120)</f>
        <v>87.527151909880288</v>
      </c>
      <c r="W120" s="111">
        <f>SQRT($B$75*U120*(1+0.0006*$B$38/((1-0.0006)*$B$37)))</f>
        <v>4.287054488907474</v>
      </c>
      <c r="X120" s="112">
        <f t="shared" si="13"/>
        <v>8.796809753136726</v>
      </c>
    </row>
    <row r="121" spans="1:24" x14ac:dyDescent="0.2">
      <c r="A121" s="40" t="s">
        <v>159</v>
      </c>
      <c r="B121" s="145" t="s">
        <v>4</v>
      </c>
      <c r="C121" s="137">
        <f t="shared" si="0"/>
        <v>30.799398428449411</v>
      </c>
      <c r="D121" s="37">
        <f>'Arbitrary Wavelength'!F18*E121</f>
        <v>2517.4521030364067</v>
      </c>
      <c r="E121" s="37">
        <v>2</v>
      </c>
      <c r="F121" s="138">
        <f t="shared" si="1"/>
        <v>4.3579563910130155</v>
      </c>
      <c r="G121" s="37">
        <f>'Arbitrary Wavelength'!H18*H121</f>
        <v>371.86903257991946</v>
      </c>
      <c r="H121" s="139">
        <v>1</v>
      </c>
      <c r="I121" s="127">
        <f t="shared" si="14"/>
        <v>4.2444033441272811E-15</v>
      </c>
      <c r="J121" s="118">
        <f t="shared" si="15"/>
        <v>2.8851119511537982E-13</v>
      </c>
      <c r="K121" s="118">
        <v>1</v>
      </c>
      <c r="L121" s="118">
        <f t="shared" si="4"/>
        <v>0.54567315902944113</v>
      </c>
      <c r="M121" s="118">
        <f t="shared" si="16"/>
        <v>327.40389541766467</v>
      </c>
      <c r="N121" s="119">
        <f t="shared" si="17"/>
        <v>18.094305607501624</v>
      </c>
      <c r="O121" s="111">
        <f>SQRT($B$75*M121*(1+0.1337*$D$38/((1-0.1337)*$D$37)))</f>
        <v>0.89731044803546045</v>
      </c>
      <c r="P121" s="111">
        <f t="shared" si="12"/>
        <v>3.693484665696614</v>
      </c>
      <c r="Q121" s="117">
        <f t="shared" si="18"/>
        <v>9.485714072817659E-15</v>
      </c>
      <c r="R121" s="118">
        <f t="shared" si="19"/>
        <v>1.0557504905905327E-12</v>
      </c>
      <c r="S121" s="118">
        <v>1</v>
      </c>
      <c r="T121" s="118">
        <f t="shared" si="9"/>
        <v>5.2129238827065123</v>
      </c>
      <c r="U121" s="111">
        <f t="shared" si="20"/>
        <v>3127.7543296239073</v>
      </c>
      <c r="V121" s="120">
        <f t="shared" si="21"/>
        <v>55.926329484634579</v>
      </c>
      <c r="W121" s="111">
        <f>SQRT($B$75*U121*(1+0.0006*$B$38/((1-0.0006)*$B$37)))</f>
        <v>2.7392553811425513</v>
      </c>
      <c r="X121" s="112">
        <f t="shared" si="13"/>
        <v>5.6208076000703997</v>
      </c>
    </row>
    <row r="122" spans="1:24" x14ac:dyDescent="0.2">
      <c r="A122" s="40" t="s">
        <v>14</v>
      </c>
      <c r="B122" s="145" t="s">
        <v>4</v>
      </c>
      <c r="C122" s="137">
        <f t="shared" si="0"/>
        <v>22.285620491149238</v>
      </c>
      <c r="D122" s="37">
        <f>'Arbitrary Wavelength'!F22*E122</f>
        <v>1682.7336381113041</v>
      </c>
      <c r="E122" s="37">
        <v>2</v>
      </c>
      <c r="F122" s="138">
        <f t="shared" si="1"/>
        <v>1.6272307261218255</v>
      </c>
      <c r="G122" s="37">
        <f>'Arbitrary Wavelength'!H22*H122</f>
        <v>134.94028064588747</v>
      </c>
      <c r="H122" s="139">
        <v>1</v>
      </c>
      <c r="I122" s="127">
        <f t="shared" si="14"/>
        <v>1.5401685223891E-15</v>
      </c>
      <c r="J122" s="118">
        <f t="shared" si="15"/>
        <v>1.0469218522513786E-13</v>
      </c>
      <c r="K122" s="118">
        <v>1</v>
      </c>
      <c r="L122" s="118">
        <f t="shared" si="4"/>
        <v>0.19800866103185405</v>
      </c>
      <c r="M122" s="118">
        <f t="shared" si="16"/>
        <v>118.80519661911244</v>
      </c>
      <c r="N122" s="119">
        <f t="shared" si="17"/>
        <v>10.899779659200108</v>
      </c>
      <c r="O122" s="111">
        <f>SQRT($B$75*M122*(1+0.1337*$D$38/((1-0.1337)*$D$37)))</f>
        <v>0.54052840609864616</v>
      </c>
      <c r="P122" s="111">
        <f t="shared" si="12"/>
        <v>2.2249082061506158</v>
      </c>
      <c r="Q122" s="117">
        <f t="shared" si="18"/>
        <v>6.3405099674324244E-15</v>
      </c>
      <c r="R122" s="118">
        <f t="shared" si="19"/>
        <v>7.0569241886526132E-13</v>
      </c>
      <c r="S122" s="118">
        <v>1</v>
      </c>
      <c r="T122" s="118">
        <f t="shared" si="9"/>
        <v>3.4844604827888457</v>
      </c>
      <c r="U122" s="111">
        <f t="shared" si="20"/>
        <v>2090.6762896733076</v>
      </c>
      <c r="V122" s="120">
        <f t="shared" si="21"/>
        <v>45.723913761546129</v>
      </c>
      <c r="W122" s="111">
        <f>SQRT($B$75*U122*(1+0.0006*$B$38/((1-0.0006)*$B$37)))</f>
        <v>2.2395440210791007</v>
      </c>
      <c r="X122" s="112">
        <f t="shared" si="13"/>
        <v>4.5954262392004948</v>
      </c>
    </row>
    <row r="123" spans="1:24" x14ac:dyDescent="0.2">
      <c r="A123" s="50" t="s">
        <v>147</v>
      </c>
      <c r="B123" s="145" t="s">
        <v>4</v>
      </c>
      <c r="C123" s="137">
        <f t="shared" si="0"/>
        <v>17.581011188148977</v>
      </c>
      <c r="D123" s="37">
        <f>'Arbitrary Wavelength'!F23*E123</f>
        <v>1269.8385181246761</v>
      </c>
      <c r="E123" s="37">
        <v>2</v>
      </c>
      <c r="F123" s="138">
        <f t="shared" si="1"/>
        <v>1.8779936740394312</v>
      </c>
      <c r="G123" s="37">
        <f>'Arbitrary Wavelength'!H23*H123</f>
        <v>156.14462686447689</v>
      </c>
      <c r="H123" s="139">
        <v>1</v>
      </c>
      <c r="I123" s="127">
        <f t="shared" si="14"/>
        <v>1.7821886695786119E-15</v>
      </c>
      <c r="J123" s="118">
        <f t="shared" si="15"/>
        <v>1.2114338372027134E-13</v>
      </c>
      <c r="K123" s="118">
        <v>1</v>
      </c>
      <c r="L123" s="118">
        <f t="shared" si="4"/>
        <v>0.22912349333175783</v>
      </c>
      <c r="M123" s="118">
        <f t="shared" si="16"/>
        <v>137.4740959990547</v>
      </c>
      <c r="N123" s="119">
        <f t="shared" si="17"/>
        <v>11.724934797219756</v>
      </c>
      <c r="O123" s="111">
        <f>SQRT($B$75*M123*(1+0.1337*$D$38/((1-0.1337)*$D$37)))</f>
        <v>0.58144848021788764</v>
      </c>
      <c r="P123" s="111">
        <f t="shared" si="12"/>
        <v>2.3933422933826134</v>
      </c>
      <c r="Q123" s="117">
        <f t="shared" si="18"/>
        <v>4.7847286099516178E-15</v>
      </c>
      <c r="R123" s="118">
        <f t="shared" si="19"/>
        <v>5.3253550955900508E-13</v>
      </c>
      <c r="S123" s="118">
        <v>1</v>
      </c>
      <c r="T123" s="118">
        <f t="shared" si="9"/>
        <v>2.6294726840397966</v>
      </c>
      <c r="U123" s="111">
        <f t="shared" si="20"/>
        <v>1577.683610423878</v>
      </c>
      <c r="V123" s="120">
        <f t="shared" si="21"/>
        <v>39.720065589370293</v>
      </c>
      <c r="W123" s="111">
        <f>SQRT($B$75*U123*(1+0.0006*$B$38/((1-0.0006)*$B$37)))</f>
        <v>1.9454772806949672</v>
      </c>
      <c r="X123" s="112">
        <f t="shared" si="13"/>
        <v>3.992016794189333</v>
      </c>
    </row>
    <row r="124" spans="1:24" x14ac:dyDescent="0.2">
      <c r="A124" s="50" t="s">
        <v>148</v>
      </c>
      <c r="B124" s="145" t="s">
        <v>4</v>
      </c>
      <c r="C124" s="137">
        <f t="shared" si="0"/>
        <v>17.375311066985702</v>
      </c>
      <c r="D124" s="37">
        <f>'Arbitrary Wavelength'!F24*E124</f>
        <v>1252.5366903190309</v>
      </c>
      <c r="E124" s="37">
        <v>2</v>
      </c>
      <c r="F124" s="138">
        <f t="shared" si="1"/>
        <v>2.2316084420444025</v>
      </c>
      <c r="G124" s="37">
        <f>'Arbitrary Wavelength'!H24*H124</f>
        <v>186.2340207353551</v>
      </c>
      <c r="H124" s="139">
        <v>1</v>
      </c>
      <c r="I124" s="127">
        <f t="shared" si="14"/>
        <v>2.1256201273751722E-15</v>
      </c>
      <c r="J124" s="118">
        <f t="shared" si="15"/>
        <v>1.4448796534826362E-13</v>
      </c>
      <c r="K124" s="118">
        <v>1</v>
      </c>
      <c r="L124" s="118">
        <f t="shared" si="4"/>
        <v>0.27327606633008766</v>
      </c>
      <c r="M124" s="118">
        <f t="shared" si="16"/>
        <v>163.96563979805259</v>
      </c>
      <c r="N124" s="119">
        <f t="shared" si="17"/>
        <v>12.804906864091304</v>
      </c>
      <c r="O124" s="111">
        <f>SQRT($B$75*M124*(1+0.1337*$D$38/((1-0.1337)*$D$37)))</f>
        <v>0.63500512064450498</v>
      </c>
      <c r="P124" s="111">
        <f t="shared" si="12"/>
        <v>2.6137906684071304</v>
      </c>
      <c r="Q124" s="117">
        <f t="shared" si="18"/>
        <v>4.7195356351563768E-15</v>
      </c>
      <c r="R124" s="118">
        <f t="shared" si="19"/>
        <v>5.2527959665726957E-13</v>
      </c>
      <c r="S124" s="118">
        <v>1</v>
      </c>
      <c r="T124" s="118">
        <f t="shared" si="9"/>
        <v>2.5936455430690755</v>
      </c>
      <c r="U124" s="111">
        <f t="shared" si="20"/>
        <v>1556.1873258414453</v>
      </c>
      <c r="V124" s="120">
        <f t="shared" si="21"/>
        <v>39.448540224467692</v>
      </c>
      <c r="W124" s="111">
        <f>SQRT($B$75*U124*(1+0.0006*$B$38/((1-0.0006)*$B$37)))</f>
        <v>1.9321780471536261</v>
      </c>
      <c r="X124" s="112">
        <f t="shared" si="13"/>
        <v>3.9647274682364153</v>
      </c>
    </row>
    <row r="125" spans="1:24" x14ac:dyDescent="0.2">
      <c r="A125" s="50" t="s">
        <v>149</v>
      </c>
      <c r="B125" s="145" t="s">
        <v>4</v>
      </c>
      <c r="C125" s="137">
        <f t="shared" si="0"/>
        <v>13.716894161005047</v>
      </c>
      <c r="D125" s="37">
        <f>'Arbitrary Wavelength'!F27*E125</f>
        <v>955.01654704800421</v>
      </c>
      <c r="E125" s="37">
        <v>2</v>
      </c>
      <c r="F125" s="138">
        <f t="shared" si="1"/>
        <v>1.5401930714177734</v>
      </c>
      <c r="G125" s="37">
        <f>'Arbitrary Wavelength'!H27*H125</f>
        <v>127.60620319405427</v>
      </c>
      <c r="H125" s="139">
        <v>1</v>
      </c>
      <c r="I125" s="127">
        <f t="shared" si="14"/>
        <v>1.4564595277285688E-15</v>
      </c>
      <c r="J125" s="118">
        <f t="shared" si="15"/>
        <v>9.9002108167585592E-14</v>
      </c>
      <c r="K125" s="118">
        <v>1</v>
      </c>
      <c r="L125" s="118">
        <f t="shared" si="4"/>
        <v>0.18724678289442587</v>
      </c>
      <c r="M125" s="118">
        <f t="shared" si="16"/>
        <v>112.34806973665552</v>
      </c>
      <c r="N125" s="119">
        <f t="shared" si="17"/>
        <v>10.599437236790241</v>
      </c>
      <c r="O125" s="111">
        <f>SQRT($B$75*M125*(1+0.1337*$D$38/((1-0.1337)*$D$37)))</f>
        <v>0.5256341957618359</v>
      </c>
      <c r="P125" s="111">
        <f t="shared" si="12"/>
        <v>2.1636010658993139</v>
      </c>
      <c r="Q125" s="117">
        <f t="shared" si="18"/>
        <v>3.5984851068985657E-15</v>
      </c>
      <c r="R125" s="118">
        <f t="shared" si="19"/>
        <v>4.0050779391270342E-13</v>
      </c>
      <c r="S125" s="118">
        <v>1</v>
      </c>
      <c r="T125" s="118">
        <f t="shared" si="9"/>
        <v>1.9775663499145637</v>
      </c>
      <c r="U125" s="111">
        <f t="shared" si="20"/>
        <v>1186.5398099487381</v>
      </c>
      <c r="V125" s="120">
        <f t="shared" si="21"/>
        <v>34.446187161262685</v>
      </c>
      <c r="W125" s="111">
        <f>SQRT($B$75*U125*(1+0.0006*$B$38/((1-0.0006)*$B$37)))</f>
        <v>1.6871642464441772</v>
      </c>
      <c r="X125" s="112">
        <f t="shared" si="13"/>
        <v>3.4619720688565367</v>
      </c>
    </row>
    <row r="126" spans="1:24" x14ac:dyDescent="0.2">
      <c r="A126" s="40" t="s">
        <v>150</v>
      </c>
      <c r="B126" s="145" t="s">
        <v>4</v>
      </c>
      <c r="C126" s="137">
        <f t="shared" si="0"/>
        <v>11.214049338702615</v>
      </c>
      <c r="D126" s="37">
        <f>'Arbitrary Wavelength'!F29*E126</f>
        <v>762.33260757923199</v>
      </c>
      <c r="E126" s="37">
        <v>2</v>
      </c>
      <c r="F126" s="138">
        <f t="shared" si="1"/>
        <v>1.0227940087372125</v>
      </c>
      <c r="G126" s="37">
        <f>'Arbitrary Wavelength'!H29*H126</f>
        <v>84.281359478701916</v>
      </c>
      <c r="H126" s="139">
        <v>1</v>
      </c>
      <c r="I126" s="127">
        <f t="shared" si="14"/>
        <v>9.6196255315267836E-16</v>
      </c>
      <c r="J126" s="118">
        <f t="shared" si="15"/>
        <v>6.5388923569276724E-14</v>
      </c>
      <c r="K126" s="118">
        <v>1</v>
      </c>
      <c r="L126" s="118">
        <f t="shared" si="4"/>
        <v>0.12367277628624622</v>
      </c>
      <c r="M126" s="118">
        <f t="shared" si="16"/>
        <v>74.203665771747737</v>
      </c>
      <c r="N126" s="119">
        <f t="shared" si="17"/>
        <v>8.614154965621859</v>
      </c>
      <c r="O126" s="111">
        <f>SQRT($B$75*M126*(1+0.1337*$D$38/((1-0.1337)*$D$37)))</f>
        <v>0.427182530201351</v>
      </c>
      <c r="P126" s="111">
        <f t="shared" si="12"/>
        <v>1.7583570192529605</v>
      </c>
      <c r="Q126" s="117">
        <f t="shared" si="18"/>
        <v>2.8724555017988866E-15</v>
      </c>
      <c r="R126" s="118">
        <f t="shared" si="19"/>
        <v>3.1970142489471426E-13</v>
      </c>
      <c r="S126" s="118">
        <v>1</v>
      </c>
      <c r="T126" s="118">
        <f t="shared" si="9"/>
        <v>1.5785729753596984</v>
      </c>
      <c r="U126" s="111">
        <f t="shared" si="20"/>
        <v>947.14378521581909</v>
      </c>
      <c r="V126" s="120">
        <f t="shared" si="21"/>
        <v>30.775701214039284</v>
      </c>
      <c r="W126" s="111">
        <f>SQRT($B$75*U126*(1+0.0006*$B$38/((1-0.0006)*$B$37)))</f>
        <v>1.5073849103963468</v>
      </c>
      <c r="X126" s="112">
        <f t="shared" si="13"/>
        <v>3.0930743511228322</v>
      </c>
    </row>
    <row r="127" spans="1:24" x14ac:dyDescent="0.2">
      <c r="A127" s="50" t="s">
        <v>151</v>
      </c>
      <c r="B127" s="145" t="s">
        <v>4</v>
      </c>
      <c r="C127" s="137">
        <f t="shared" si="0"/>
        <v>10.066292888035257</v>
      </c>
      <c r="D127" s="37">
        <f>'Arbitrary Wavelength'!F33*E127</f>
        <v>676.83912668383232</v>
      </c>
      <c r="E127" s="37">
        <v>2</v>
      </c>
      <c r="F127" s="138">
        <f t="shared" si="1"/>
        <v>1.0110705383974985</v>
      </c>
      <c r="G127" s="37">
        <f>'Arbitrary Wavelength'!H33*H127</f>
        <v>83.305080680947839</v>
      </c>
      <c r="H127" s="139">
        <v>1</v>
      </c>
      <c r="I127" s="127">
        <f t="shared" si="14"/>
        <v>9.5081959519987429E-16</v>
      </c>
      <c r="J127" s="118">
        <f t="shared" si="15"/>
        <v>6.4631486573913849E-14</v>
      </c>
      <c r="K127" s="118">
        <v>1</v>
      </c>
      <c r="L127" s="118">
        <f t="shared" si="4"/>
        <v>0.12224020436174905</v>
      </c>
      <c r="M127" s="118">
        <f t="shared" si="16"/>
        <v>73.344122617049436</v>
      </c>
      <c r="N127" s="119">
        <f t="shared" si="17"/>
        <v>8.5641183210561405</v>
      </c>
      <c r="O127" s="111">
        <f>SQRT($B$75*M127*(1+0.1337*$D$38/((1-0.1337)*$D$37)))</f>
        <v>0.42470117474470159</v>
      </c>
      <c r="P127" s="111">
        <f t="shared" si="12"/>
        <v>1.7481433319507089</v>
      </c>
      <c r="Q127" s="117">
        <f t="shared" si="18"/>
        <v>2.550317609329942E-15</v>
      </c>
      <c r="R127" s="118">
        <f t="shared" si="19"/>
        <v>2.838477996008132E-13</v>
      </c>
      <c r="S127" s="118">
        <v>1</v>
      </c>
      <c r="T127" s="118">
        <f t="shared" si="9"/>
        <v>1.4015404082503582</v>
      </c>
      <c r="U127" s="111">
        <f t="shared" si="20"/>
        <v>840.92424495021487</v>
      </c>
      <c r="V127" s="120">
        <f t="shared" si="21"/>
        <v>28.998693849037664</v>
      </c>
      <c r="W127" s="111">
        <f>SQRT($B$75*U127*(1+0.0006*$B$38/((1-0.0006)*$B$37)))</f>
        <v>1.4203476055746884</v>
      </c>
      <c r="X127" s="112">
        <f t="shared" si="13"/>
        <v>2.9144783911407566</v>
      </c>
    </row>
    <row r="128" spans="1:24" x14ac:dyDescent="0.2">
      <c r="A128" s="50" t="s">
        <v>152</v>
      </c>
      <c r="B128" s="145" t="s">
        <v>4</v>
      </c>
      <c r="C128" s="137">
        <f t="shared" si="0"/>
        <v>9.1626050329636488</v>
      </c>
      <c r="D128" s="37">
        <f>'Arbitrary Wavelength'!F36*E128</f>
        <v>610.7713491705681</v>
      </c>
      <c r="E128" s="37">
        <v>2</v>
      </c>
      <c r="F128" s="138">
        <f t="shared" si="1"/>
        <v>0.77567544814526301</v>
      </c>
      <c r="G128" s="37">
        <f>'Arbitrary Wavelength'!H36*H128</f>
        <v>63.75281865860353</v>
      </c>
      <c r="H128" s="139">
        <v>1</v>
      </c>
      <c r="I128" s="127">
        <f t="shared" si="14"/>
        <v>7.2765584925107482E-16</v>
      </c>
      <c r="J128" s="118">
        <f t="shared" si="15"/>
        <v>4.9462042524917181E-14</v>
      </c>
      <c r="K128" s="118">
        <v>1</v>
      </c>
      <c r="L128" s="118">
        <f t="shared" si="4"/>
        <v>9.3549607272003329E-2</v>
      </c>
      <c r="M128" s="118">
        <f t="shared" si="16"/>
        <v>56.129764363202</v>
      </c>
      <c r="N128" s="119">
        <f t="shared" si="17"/>
        <v>7.4919800028565211</v>
      </c>
      <c r="O128" s="111">
        <f>SQRT($B$75*M128*(1+0.1337*$D$38/((1-0.1337)*$D$37)))</f>
        <v>0.37153301590356663</v>
      </c>
      <c r="P128" s="111">
        <f t="shared" si="12"/>
        <v>1.5292940141778113</v>
      </c>
      <c r="Q128" s="117">
        <f t="shared" si="18"/>
        <v>2.3013754164828695E-15</v>
      </c>
      <c r="R128" s="118">
        <f t="shared" si="19"/>
        <v>2.5614078247912688E-13</v>
      </c>
      <c r="S128" s="118">
        <v>1</v>
      </c>
      <c r="T128" s="118">
        <f t="shared" si="9"/>
        <v>1.2647329214819576</v>
      </c>
      <c r="U128" s="111">
        <f t="shared" si="20"/>
        <v>758.83975288917452</v>
      </c>
      <c r="V128" s="120">
        <f t="shared" si="21"/>
        <v>27.547046173576842</v>
      </c>
      <c r="W128" s="111">
        <f>SQRT($B$75*U128*(1+0.0006*$B$38/((1-0.0006)*$B$37)))</f>
        <v>1.3492463238855041</v>
      </c>
      <c r="X128" s="112">
        <f t="shared" si="13"/>
        <v>2.7685823103136307</v>
      </c>
    </row>
    <row r="129" spans="1:24" x14ac:dyDescent="0.2">
      <c r="A129" s="50" t="s">
        <v>153</v>
      </c>
      <c r="B129" s="145" t="s">
        <v>4</v>
      </c>
      <c r="C129" s="137">
        <f t="shared" si="0"/>
        <v>8.813055376036365</v>
      </c>
      <c r="D129" s="37">
        <f>'Arbitrary Wavelength'!F37*E129</f>
        <v>585.50754575098915</v>
      </c>
      <c r="E129" s="37">
        <v>2</v>
      </c>
      <c r="F129" s="138">
        <f t="shared" si="1"/>
        <v>0.65191191923804026</v>
      </c>
      <c r="G129" s="37">
        <f>'Arbitrary Wavelength'!H37*H129</f>
        <v>53.511277946932807</v>
      </c>
      <c r="H129" s="139">
        <v>1</v>
      </c>
      <c r="I129" s="127">
        <f t="shared" si="14"/>
        <v>6.1076192736665769E-16</v>
      </c>
      <c r="J129" s="118">
        <f t="shared" si="15"/>
        <v>4.1516236631784871E-14</v>
      </c>
      <c r="K129" s="118">
        <v>1</v>
      </c>
      <c r="L129" s="118">
        <f t="shared" si="4"/>
        <v>7.8521375868343929E-2</v>
      </c>
      <c r="M129" s="118">
        <f t="shared" si="16"/>
        <v>47.112825521006357</v>
      </c>
      <c r="N129" s="119">
        <f t="shared" si="17"/>
        <v>6.863878314845504</v>
      </c>
      <c r="O129" s="111">
        <f>SQRT($B$75*M129*(1+0.1337*$D$38/((1-0.1337)*$D$37)))</f>
        <v>0.34038497301612175</v>
      </c>
      <c r="P129" s="111">
        <f t="shared" si="12"/>
        <v>1.4010832939938291</v>
      </c>
      <c r="Q129" s="117">
        <f t="shared" si="18"/>
        <v>2.2061818613240829E-15</v>
      </c>
      <c r="R129" s="118">
        <f t="shared" si="19"/>
        <v>2.4554583498350909E-13</v>
      </c>
      <c r="S129" s="118">
        <v>1</v>
      </c>
      <c r="T129" s="118">
        <f t="shared" si="9"/>
        <v>1.2124188043414255</v>
      </c>
      <c r="U129" s="111">
        <f t="shared" si="20"/>
        <v>727.45128260485524</v>
      </c>
      <c r="V129" s="120">
        <f t="shared" si="21"/>
        <v>26.971304799821148</v>
      </c>
      <c r="W129" s="111">
        <f>SQRT($B$75*U129*(1+0.0006*$B$38/((1-0.0006)*$B$37)))</f>
        <v>1.3210466785531569</v>
      </c>
      <c r="X129" s="112">
        <f t="shared" si="13"/>
        <v>2.7107181250702546</v>
      </c>
    </row>
    <row r="130" spans="1:24" x14ac:dyDescent="0.2">
      <c r="A130" s="51" t="s">
        <v>154</v>
      </c>
      <c r="B130" s="145" t="s">
        <v>4</v>
      </c>
      <c r="C130" s="137">
        <f t="shared" si="0"/>
        <v>8.3550799099545472</v>
      </c>
      <c r="D130" s="37">
        <f>'Arbitrary Wavelength'!F39*E130</f>
        <v>552.65152966805556</v>
      </c>
      <c r="E130" s="37">
        <v>2</v>
      </c>
      <c r="F130" s="138">
        <f t="shared" si="1"/>
        <v>0.81166630229991343</v>
      </c>
      <c r="G130" s="37">
        <f>'Arbitrary Wavelength'!H39*H130</f>
        <v>66.736060508667293</v>
      </c>
      <c r="H130" s="139">
        <v>1</v>
      </c>
      <c r="I130" s="127">
        <f t="shared" si="14"/>
        <v>7.6170569093029528E-16</v>
      </c>
      <c r="J130" s="118">
        <f t="shared" si="15"/>
        <v>5.1776563488141349E-14</v>
      </c>
      <c r="K130" s="118">
        <v>1</v>
      </c>
      <c r="L130" s="118">
        <f t="shared" si="4"/>
        <v>9.7927156521478098E-2</v>
      </c>
      <c r="M130" s="118">
        <f t="shared" si="16"/>
        <v>58.756293912886861</v>
      </c>
      <c r="N130" s="119">
        <f t="shared" si="17"/>
        <v>7.6652654169889551</v>
      </c>
      <c r="O130" s="111">
        <f>SQRT($B$75*M130*(1+0.1337*$D$38/((1-0.1337)*$D$37)))</f>
        <v>0.38012637206577937</v>
      </c>
      <c r="P130" s="111">
        <f t="shared" si="12"/>
        <v>1.5646657512187556</v>
      </c>
      <c r="Q130" s="117">
        <f t="shared" si="18"/>
        <v>2.082380985923635E-15</v>
      </c>
      <c r="R130" s="118">
        <f t="shared" si="19"/>
        <v>2.3176692135231462E-13</v>
      </c>
      <c r="S130" s="118">
        <v>1</v>
      </c>
      <c r="T130" s="118">
        <f t="shared" si="9"/>
        <v>1.1443833844330467</v>
      </c>
      <c r="U130" s="111">
        <f t="shared" si="20"/>
        <v>686.63003065982798</v>
      </c>
      <c r="V130" s="120">
        <f t="shared" si="21"/>
        <v>26.203626288356119</v>
      </c>
      <c r="W130" s="111">
        <f>SQRT($B$75*U130*(1+0.0006*$B$38/((1-0.0006)*$B$37)))</f>
        <v>1.2834460079406536</v>
      </c>
      <c r="X130" s="112">
        <f t="shared" si="13"/>
        <v>2.6335635316718293</v>
      </c>
    </row>
    <row r="131" spans="1:24" x14ac:dyDescent="0.2">
      <c r="A131" s="40" t="s">
        <v>133</v>
      </c>
      <c r="B131" s="145" t="s">
        <v>4</v>
      </c>
      <c r="C131" s="137">
        <f t="shared" si="0"/>
        <v>5.9717595561294683</v>
      </c>
      <c r="D131" s="37">
        <f>'Arbitrary Wavelength'!F41*E131</f>
        <v>386.08081063385475</v>
      </c>
      <c r="E131" s="37">
        <v>2</v>
      </c>
      <c r="F131" s="138">
        <f t="shared" si="1"/>
        <v>0.61749846661910845</v>
      </c>
      <c r="G131" s="37">
        <f>'Arbitrary Wavelength'!H41*H131</f>
        <v>50.668232263425637</v>
      </c>
      <c r="H131" s="139">
        <v>1</v>
      </c>
      <c r="I131" s="127">
        <f t="shared" si="14"/>
        <v>5.7831224333981926E-16</v>
      </c>
      <c r="J131" s="118">
        <f t="shared" si="15"/>
        <v>3.931048558490254E-14</v>
      </c>
      <c r="K131" s="118">
        <v>1</v>
      </c>
      <c r="L131" s="118">
        <f t="shared" si="4"/>
        <v>7.4349547661457766E-2</v>
      </c>
      <c r="M131" s="118">
        <f t="shared" si="16"/>
        <v>44.60972859687466</v>
      </c>
      <c r="N131" s="119">
        <f t="shared" si="17"/>
        <v>6.6790514743393512</v>
      </c>
      <c r="O131" s="111">
        <f>SQRT($B$75*M131*(1+0.1337*$D$38/((1-0.1337)*$D$37)))</f>
        <v>0.33121926869670332</v>
      </c>
      <c r="P131" s="111">
        <f t="shared" si="12"/>
        <v>1.3633556731595919</v>
      </c>
      <c r="Q131" s="117">
        <f t="shared" si="18"/>
        <v>1.4547455239594059E-15</v>
      </c>
      <c r="R131" s="118">
        <f t="shared" si="19"/>
        <v>1.619117220711579E-13</v>
      </c>
      <c r="S131" s="118">
        <v>1</v>
      </c>
      <c r="T131" s="118">
        <f t="shared" si="9"/>
        <v>0.79946302691535498</v>
      </c>
      <c r="U131" s="111">
        <f t="shared" si="20"/>
        <v>479.67781614921302</v>
      </c>
      <c r="V131" s="120">
        <f t="shared" si="21"/>
        <v>21.901548259180515</v>
      </c>
      <c r="W131" s="111">
        <f>SQRT($B$75*U131*(1+0.0006*$B$38/((1-0.0006)*$B$37)))</f>
        <v>1.0727314750880703</v>
      </c>
      <c r="X131" s="112">
        <f t="shared" si="13"/>
        <v>2.2011884213200985</v>
      </c>
    </row>
    <row r="132" spans="1:24" x14ac:dyDescent="0.2">
      <c r="A132" s="41" t="s">
        <v>139</v>
      </c>
      <c r="B132" s="145" t="s">
        <v>4</v>
      </c>
      <c r="C132" s="137">
        <f t="shared" si="0"/>
        <v>3.1523459774864584</v>
      </c>
      <c r="D132" s="37">
        <f>'Arbitrary Wavelength'!F43*E132</f>
        <v>198.35926776010453</v>
      </c>
      <c r="E132" s="37">
        <v>2</v>
      </c>
      <c r="F132" s="138">
        <f t="shared" si="1"/>
        <v>0.32153507356587385</v>
      </c>
      <c r="G132" s="37">
        <f>'Arbitrary Wavelength'!H43*H132</f>
        <v>26.301589700145087</v>
      </c>
      <c r="H132" s="139">
        <v>1</v>
      </c>
      <c r="I132" s="127">
        <f t="shared" si="14"/>
        <v>3.0019857933496456E-16</v>
      </c>
      <c r="J132" s="118">
        <f t="shared" si="15"/>
        <v>2.0405848331004545E-14</v>
      </c>
      <c r="K132" s="118">
        <v>1</v>
      </c>
      <c r="L132" s="118">
        <f t="shared" si="4"/>
        <v>3.8594425138344726E-2</v>
      </c>
      <c r="M132" s="118">
        <f t="shared" si="16"/>
        <v>23.156655083006836</v>
      </c>
      <c r="N132" s="119">
        <f t="shared" si="17"/>
        <v>4.8121362286417906</v>
      </c>
      <c r="O132" s="111">
        <f>SQRT($B$75*M132*(1+0.1337*$D$38/((1-0.1337)*$D$37)))</f>
        <v>0.23863751442000999</v>
      </c>
      <c r="P132" s="111">
        <f t="shared" si="12"/>
        <v>0.98227319441111616</v>
      </c>
      <c r="Q132" s="117">
        <f t="shared" si="18"/>
        <v>7.4741413963601395E-16</v>
      </c>
      <c r="R132" s="118">
        <f t="shared" si="19"/>
        <v>8.3186446327348706E-14</v>
      </c>
      <c r="S132" s="118">
        <v>1</v>
      </c>
      <c r="T132" s="118">
        <f t="shared" si="9"/>
        <v>0.41074535758421571</v>
      </c>
      <c r="U132" s="111">
        <f t="shared" si="20"/>
        <v>246.44721455052942</v>
      </c>
      <c r="V132" s="120">
        <f t="shared" si="21"/>
        <v>15.698637346933314</v>
      </c>
      <c r="W132" s="111">
        <f>SQRT($B$75*U132*(1+0.0006*$B$38/((1-0.0006)*$B$37)))</f>
        <v>0.76891469948885527</v>
      </c>
      <c r="X132" s="112">
        <f t="shared" si="13"/>
        <v>1.577772418170853</v>
      </c>
    </row>
    <row r="133" spans="1:24" x14ac:dyDescent="0.2">
      <c r="A133" s="40" t="s">
        <v>13</v>
      </c>
      <c r="B133" s="145" t="s">
        <v>4</v>
      </c>
      <c r="C133" s="137">
        <f t="shared" si="0"/>
        <v>31.027262963478158</v>
      </c>
      <c r="D133" s="37">
        <f>'Arbitrary Wavelength'!F17*E133</f>
        <v>2541.406968585748</v>
      </c>
      <c r="E133" s="37">
        <v>2</v>
      </c>
      <c r="F133" s="138">
        <f t="shared" si="1"/>
        <v>2.3517785558157653</v>
      </c>
      <c r="G133" s="37">
        <f>'Arbitrary Wavelength'!H17*H133</f>
        <v>196.5096613469982</v>
      </c>
      <c r="H133" s="139">
        <v>1</v>
      </c>
      <c r="I133" s="127">
        <f>G133*0.000001*1E-26*3E+21/$D$34^2</f>
        <v>2.2429032554499335E-15</v>
      </c>
      <c r="J133" s="118">
        <f>I133*$D$39</f>
        <v>1.5246022733758148E-13</v>
      </c>
      <c r="K133" s="118">
        <v>1</v>
      </c>
      <c r="L133" s="118">
        <f t="shared" si="4"/>
        <v>0.28835433524295156</v>
      </c>
      <c r="M133" s="118">
        <f>L133*$B$41</f>
        <v>173.01260114577093</v>
      </c>
      <c r="N133" s="119">
        <f>SQRT(M133)</f>
        <v>13.153425452929397</v>
      </c>
      <c r="O133" s="111">
        <f>SQRT($B$75*M133*(1+0.1337*$D$38/((1-0.1337)*$D$37)))</f>
        <v>0.6522884239048049</v>
      </c>
      <c r="P133" s="111">
        <f t="shared" si="12"/>
        <v>2.6849317274511448</v>
      </c>
      <c r="Q133" s="117">
        <f>D133*0.000001*1E-26*3E+21/$B$34^2</f>
        <v>9.5759755737136533E-15</v>
      </c>
      <c r="R133" s="118">
        <f>Q133*$B$39</f>
        <v>1.0657965053787558E-12</v>
      </c>
      <c r="S133" s="118">
        <v>1</v>
      </c>
      <c r="T133" s="118">
        <f t="shared" si="9"/>
        <v>5.2625275635783639</v>
      </c>
      <c r="U133" s="111">
        <f>T133*$B$41</f>
        <v>3157.5165381470183</v>
      </c>
      <c r="V133" s="120">
        <f>SQRT(U133)</f>
        <v>56.191783546591743</v>
      </c>
      <c r="W133" s="111">
        <f>SQRT($B$75*U133*(1+0.0006*$B$38/((1-0.0006)*$B$37)))</f>
        <v>2.7522572440282977</v>
      </c>
      <c r="X133" s="112">
        <f t="shared" si="13"/>
        <v>5.6474867371185109</v>
      </c>
    </row>
    <row r="134" spans="1:24" x14ac:dyDescent="0.2">
      <c r="A134" s="40" t="s">
        <v>136</v>
      </c>
      <c r="B134" s="145" t="s">
        <v>4</v>
      </c>
      <c r="C134" s="137">
        <f t="shared" si="0"/>
        <v>1.5492019221748241</v>
      </c>
      <c r="D134" s="37">
        <f>'Arbitrary Wavelength'!F44*E134</f>
        <v>95.992321843409314</v>
      </c>
      <c r="E134" s="37">
        <v>2</v>
      </c>
      <c r="F134" s="138">
        <f t="shared" si="1"/>
        <v>0.28027203647377785</v>
      </c>
      <c r="G134" s="37">
        <f>'Arbitrary Wavelength'!H44*H134</f>
        <v>22.916364595153293</v>
      </c>
      <c r="H134" s="139">
        <v>1</v>
      </c>
      <c r="I134" s="127">
        <f t="shared" si="14"/>
        <v>2.6156061946891176E-16</v>
      </c>
      <c r="J134" s="118">
        <f t="shared" si="15"/>
        <v>1.777945232808954E-14</v>
      </c>
      <c r="K134" s="118">
        <v>1</v>
      </c>
      <c r="L134" s="118">
        <f t="shared" si="4"/>
        <v>3.3627013724032755E-2</v>
      </c>
      <c r="M134" s="118">
        <f t="shared" si="16"/>
        <v>20.176208234419654</v>
      </c>
      <c r="N134" s="119">
        <f t="shared" si="17"/>
        <v>4.4917934318509856</v>
      </c>
      <c r="O134" s="111">
        <f>SQRT($B$75*M134*(1+0.1337*$D$38/((1-0.1337)*$D$37)))</f>
        <v>0.22275147022751449</v>
      </c>
      <c r="P134" s="111">
        <f t="shared" si="12"/>
        <v>0.91688349483498666</v>
      </c>
      <c r="Q134" s="117">
        <f t="shared" si="18"/>
        <v>3.6169733560936855E-16</v>
      </c>
      <c r="R134" s="118">
        <f t="shared" si="19"/>
        <v>4.0256551755987108E-14</v>
      </c>
      <c r="S134" s="118">
        <v>1</v>
      </c>
      <c r="T134" s="118">
        <f t="shared" si="9"/>
        <v>0.19877266641554128</v>
      </c>
      <c r="U134" s="111">
        <f t="shared" si="20"/>
        <v>119.26359984932476</v>
      </c>
      <c r="V134" s="120">
        <f t="shared" si="21"/>
        <v>10.920787510492307</v>
      </c>
      <c r="W134" s="111">
        <f>SQRT($B$75*U134*(1+0.0006*$B$38/((1-0.0006)*$B$37)))</f>
        <v>0.53489700164659182</v>
      </c>
      <c r="X134" s="112">
        <f t="shared" si="13"/>
        <v>1.0975804420455277</v>
      </c>
    </row>
    <row r="135" spans="1:24" s="71" customFormat="1" ht="22" thickBot="1" x14ac:dyDescent="0.3">
      <c r="A135" s="65" t="s">
        <v>218</v>
      </c>
      <c r="B135" s="65"/>
      <c r="C135" s="141">
        <f t="shared" si="0"/>
        <v>11.712262508082656</v>
      </c>
      <c r="D135" s="142">
        <v>800</v>
      </c>
      <c r="E135" s="142">
        <v>2</v>
      </c>
      <c r="F135" s="143">
        <f t="shared" si="1"/>
        <v>10.940844761875864</v>
      </c>
      <c r="G135" s="142">
        <v>1000</v>
      </c>
      <c r="H135" s="144">
        <v>1</v>
      </c>
      <c r="I135" s="128">
        <f t="shared" ref="I135" si="22">G135*0.000001*1E-26*3E+21/$D$34^2</f>
        <v>1.1413704751591824E-14</v>
      </c>
      <c r="J135" s="129">
        <f t="shared" si="15"/>
        <v>7.7584087363707833E-13</v>
      </c>
      <c r="K135" s="118">
        <v>1</v>
      </c>
      <c r="L135" s="118">
        <f t="shared" si="4"/>
        <v>1.4673799408456225</v>
      </c>
      <c r="M135" s="129">
        <f t="shared" si="16"/>
        <v>880.42796450737353</v>
      </c>
      <c r="N135" s="130">
        <f t="shared" ref="N135" si="23">SQRT(M135)</f>
        <v>29.67200641189223</v>
      </c>
      <c r="O135" s="111">
        <f>SQRT($B$75*M135*(1+0.1337*$D$38/((1-0.1337)*$D$37)))</f>
        <v>1.4714574819896793</v>
      </c>
      <c r="P135" s="111">
        <f t="shared" si="12"/>
        <v>6.0567729461438926</v>
      </c>
      <c r="Q135" s="131">
        <f t="shared" si="18"/>
        <v>3.0143855563731387E-15</v>
      </c>
      <c r="R135" s="129">
        <f>Q135*$B$39</f>
        <v>3.3549809803877395E-13</v>
      </c>
      <c r="S135" s="118">
        <v>1</v>
      </c>
      <c r="T135" s="118">
        <f t="shared" si="9"/>
        <v>1.6565713806968498</v>
      </c>
      <c r="U135" s="132">
        <f>T135*$B$41</f>
        <v>993.94282841810991</v>
      </c>
      <c r="V135" s="133">
        <f t="shared" ref="V135" si="24">SQRT(U135)</f>
        <v>31.526858841599015</v>
      </c>
      <c r="W135" s="111">
        <f>SQRT($B$75*U135*(1+0.0006*$B$38/((1-0.0006)*$B$37)))</f>
        <v>1.5441763929116543</v>
      </c>
      <c r="X135" s="112">
        <f t="shared" si="13"/>
        <v>3.1685685332146245</v>
      </c>
    </row>
    <row r="136" spans="1:24" x14ac:dyDescent="0.2">
      <c r="A136" s="49"/>
      <c r="B136" s="49"/>
      <c r="C136" s="48"/>
      <c r="D136" s="48"/>
      <c r="E136"/>
      <c r="G136" s="4"/>
      <c r="J136"/>
      <c r="K136"/>
      <c r="M136" s="4"/>
    </row>
    <row r="137" spans="1:24" ht="22" x14ac:dyDescent="0.2">
      <c r="A137" s="87" t="s">
        <v>1003</v>
      </c>
      <c r="B137" s="87"/>
      <c r="C137" s="48"/>
      <c r="D137" s="48"/>
      <c r="E137"/>
      <c r="G137" s="4"/>
      <c r="J137"/>
      <c r="K137"/>
      <c r="M137" s="4"/>
    </row>
    <row r="138" spans="1:24" x14ac:dyDescent="0.2">
      <c r="A138" s="49"/>
      <c r="B138" s="49"/>
      <c r="C138" s="48"/>
      <c r="D138" s="48"/>
      <c r="E138"/>
      <c r="G138" s="4"/>
      <c r="J138"/>
      <c r="K138"/>
      <c r="M138" s="4"/>
    </row>
    <row r="139" spans="1:24" s="71" customFormat="1" ht="22" thickBot="1" x14ac:dyDescent="0.3">
      <c r="A139" s="65"/>
      <c r="B139" s="65"/>
      <c r="C139" s="137">
        <f t="shared" ref="C139:C146" si="25">U139/($B$90*SQRT(V139^2+$B$80^2+W139^2+$B$76^2+$B$89^2+$B$87^2+X139^2))</f>
        <v>1.6129341345398969</v>
      </c>
      <c r="D139" s="66">
        <v>100</v>
      </c>
      <c r="E139" s="66">
        <v>2</v>
      </c>
      <c r="F139" s="143">
        <f t="shared" ref="F139:F146" si="26">M139/($B$91*SQRT(N139^2+$B$81^2+O139^2+$B$76^2+$B$89^2+$B$84^2+P139^2))</f>
        <v>1.2111832562618075</v>
      </c>
      <c r="G139" s="66">
        <v>100</v>
      </c>
      <c r="H139" s="139">
        <v>1</v>
      </c>
      <c r="I139" s="127">
        <f t="shared" ref="I139:I146" si="27">G139*0.000001*1E-26*3E+21/$D$34^2</f>
        <v>1.141370475159182E-15</v>
      </c>
      <c r="J139" s="118">
        <f t="shared" ref="J139:J146" si="28">I139*$D$39</f>
        <v>7.7584087363707815E-14</v>
      </c>
      <c r="K139" s="118">
        <v>1</v>
      </c>
      <c r="L139" s="118">
        <f t="shared" ref="L139:L146" si="29">K139*$D$37*(J139*PI()*(Eff_diam/2)^2*$B$32)*0.0000001/($B$3*$B$4/($D$34*0.0000000001))</f>
        <v>0.14673799408456223</v>
      </c>
      <c r="M139" s="118">
        <f t="shared" ref="M139:M146" si="30">L139*$B$41</f>
        <v>88.042796450737342</v>
      </c>
      <c r="N139" s="119">
        <f t="shared" ref="N139:N146" si="31">SQRT(M139)</f>
        <v>9.3831123008699695</v>
      </c>
      <c r="O139" s="111">
        <f>$B$75*M139*(1+$B$17*$D$38/((1-$B$17)*$D$37))</f>
        <v>0.21988436687437182</v>
      </c>
      <c r="P139" s="111">
        <f>SQRT(M139*$B$17*$D$38/((1-$B$17)*$D$37))</f>
        <v>1.9153197780303048</v>
      </c>
      <c r="Q139" s="117">
        <f t="shared" ref="Q139:Q146" si="32">D139*0.000001*1E-26*3E+21/$B$34^2</f>
        <v>3.7679819454664234E-16</v>
      </c>
      <c r="R139" s="118">
        <f t="shared" ref="R139:R146" si="33">Q139*$B$39</f>
        <v>4.1937262254846744E-14</v>
      </c>
      <c r="S139" s="118">
        <v>1</v>
      </c>
      <c r="T139" s="118">
        <f t="shared" ref="T139:T146" si="34">S139*$B$37*(R139*PI()*(Eff_diam/2)^2*$B$32)*0.0000001/($B$3*$B$4/($B$34*0.0000000001))</f>
        <v>0.20707142258710623</v>
      </c>
      <c r="U139" s="111">
        <f t="shared" ref="U139:U146" si="35">T139*$B$41</f>
        <v>124.24285355226374</v>
      </c>
      <c r="V139" s="120">
        <f t="shared" ref="V139:V146" si="36">SQRT(U139)</f>
        <v>11.146427838202863</v>
      </c>
      <c r="W139" s="111">
        <f>$B$75*U139*(1+$B$16*$B$38/((1-$B$16)*$B$37))</f>
        <v>0.30089015706896366</v>
      </c>
      <c r="X139" s="112">
        <f t="shared" ref="X139:X146" si="37">SQRT(U139*$B$16*$B$38/((1-$B$16)*$B$37))</f>
        <v>1.1202581482451868</v>
      </c>
    </row>
    <row r="140" spans="1:24" ht="22" thickBot="1" x14ac:dyDescent="0.25">
      <c r="A140" s="49"/>
      <c r="B140" s="49"/>
      <c r="C140" s="137">
        <f t="shared" si="25"/>
        <v>3.1777356917194735</v>
      </c>
      <c r="D140" s="30">
        <f t="shared" ref="D140:D146" si="38">2*D139</f>
        <v>200</v>
      </c>
      <c r="E140" s="66">
        <v>2</v>
      </c>
      <c r="F140" s="143">
        <f t="shared" si="26"/>
        <v>2.3926052178612411</v>
      </c>
      <c r="G140" s="66">
        <f t="shared" ref="G140:G146" si="39">2*G139</f>
        <v>200</v>
      </c>
      <c r="H140" s="139">
        <v>1</v>
      </c>
      <c r="I140" s="127">
        <f t="shared" si="27"/>
        <v>2.2827409503183641E-15</v>
      </c>
      <c r="J140" s="118">
        <f t="shared" si="28"/>
        <v>1.5516817472741563E-13</v>
      </c>
      <c r="K140" s="118">
        <v>1</v>
      </c>
      <c r="L140" s="118">
        <f t="shared" si="29"/>
        <v>0.29347598816912446</v>
      </c>
      <c r="M140" s="118">
        <f t="shared" si="30"/>
        <v>176.08559290147468</v>
      </c>
      <c r="N140" s="119">
        <f t="shared" si="31"/>
        <v>13.269724673160129</v>
      </c>
      <c r="O140" s="111">
        <f>$B$75*M140*(1+$B$17*$D$38/((1-$B$17)*$D$37))</f>
        <v>0.43976873374874365</v>
      </c>
      <c r="P140" s="111">
        <f t="shared" ref="P140:P146" si="40">SQRT(M140*$B$17*$D$38/((1-$B$17)*$D$37))</f>
        <v>2.708671206371883</v>
      </c>
      <c r="Q140" s="117">
        <f t="shared" si="32"/>
        <v>7.5359638909328467E-16</v>
      </c>
      <c r="R140" s="118">
        <f t="shared" si="33"/>
        <v>8.3874524509693488E-14</v>
      </c>
      <c r="S140" s="118">
        <v>1</v>
      </c>
      <c r="T140" s="118">
        <f t="shared" si="34"/>
        <v>0.41414284517421246</v>
      </c>
      <c r="U140" s="111">
        <f t="shared" si="35"/>
        <v>248.48570710452748</v>
      </c>
      <c r="V140" s="120">
        <f t="shared" si="36"/>
        <v>15.763429420799508</v>
      </c>
      <c r="W140" s="111">
        <f>$B$75*U140*(1+$B$16*$B$38/((1-$B$16)*$B$37))</f>
        <v>0.60178031413792732</v>
      </c>
      <c r="X140" s="112">
        <f t="shared" si="37"/>
        <v>1.5842842666073123</v>
      </c>
    </row>
    <row r="141" spans="1:24" ht="22" thickBot="1" x14ac:dyDescent="0.25">
      <c r="A141" s="49"/>
      <c r="B141" s="49"/>
      <c r="C141" s="137">
        <f t="shared" si="25"/>
        <v>6.1748266413564288</v>
      </c>
      <c r="D141" s="30">
        <f t="shared" si="38"/>
        <v>400</v>
      </c>
      <c r="E141" s="66">
        <v>2</v>
      </c>
      <c r="F141" s="143">
        <f t="shared" si="26"/>
        <v>4.6722920684167768</v>
      </c>
      <c r="G141" s="66">
        <f t="shared" si="39"/>
        <v>400</v>
      </c>
      <c r="H141" s="139">
        <v>1</v>
      </c>
      <c r="I141" s="127">
        <f t="shared" si="27"/>
        <v>4.5654819006367281E-15</v>
      </c>
      <c r="J141" s="118">
        <f t="shared" si="28"/>
        <v>3.1033634945483126E-13</v>
      </c>
      <c r="K141" s="118">
        <v>1</v>
      </c>
      <c r="L141" s="118">
        <f t="shared" si="29"/>
        <v>0.58695197633824892</v>
      </c>
      <c r="M141" s="118">
        <f t="shared" si="30"/>
        <v>352.17118580294937</v>
      </c>
      <c r="N141" s="119">
        <f t="shared" si="31"/>
        <v>18.766224601739939</v>
      </c>
      <c r="O141" s="111">
        <f>$B$75*M141*(1+$B$17*$D$38/((1-$B$17)*$D$37))</f>
        <v>0.87953746749748729</v>
      </c>
      <c r="P141" s="111">
        <f t="shared" si="40"/>
        <v>3.8306395560606097</v>
      </c>
      <c r="Q141" s="117">
        <f t="shared" si="32"/>
        <v>1.5071927781865693E-15</v>
      </c>
      <c r="R141" s="118">
        <f t="shared" si="33"/>
        <v>1.6774904901938698E-13</v>
      </c>
      <c r="S141" s="118">
        <v>1</v>
      </c>
      <c r="T141" s="118">
        <f t="shared" si="34"/>
        <v>0.82828569034842492</v>
      </c>
      <c r="U141" s="111">
        <f t="shared" si="35"/>
        <v>496.97141420905496</v>
      </c>
      <c r="V141" s="120">
        <f t="shared" si="36"/>
        <v>22.292855676405726</v>
      </c>
      <c r="W141" s="111">
        <f>$B$75*U141*(1+$B$16*$B$38/((1-$B$16)*$B$37))</f>
        <v>1.2035606282758546</v>
      </c>
      <c r="X141" s="112">
        <f t="shared" si="37"/>
        <v>2.2405162964903735</v>
      </c>
    </row>
    <row r="142" spans="1:24" ht="22" thickBot="1" x14ac:dyDescent="0.25">
      <c r="A142" s="49"/>
      <c r="B142" s="49"/>
      <c r="C142" s="137">
        <f t="shared" si="25"/>
        <v>11.708271957002466</v>
      </c>
      <c r="D142" s="30">
        <f t="shared" si="38"/>
        <v>800</v>
      </c>
      <c r="E142" s="66">
        <v>2</v>
      </c>
      <c r="F142" s="143">
        <f t="shared" si="26"/>
        <v>8.9358671330385331</v>
      </c>
      <c r="G142" s="66">
        <f t="shared" si="39"/>
        <v>800</v>
      </c>
      <c r="H142" s="139">
        <v>1</v>
      </c>
      <c r="I142" s="127">
        <f t="shared" si="27"/>
        <v>9.1309638012734563E-15</v>
      </c>
      <c r="J142" s="118">
        <f t="shared" si="28"/>
        <v>6.2067269890966252E-13</v>
      </c>
      <c r="K142" s="118">
        <v>1</v>
      </c>
      <c r="L142" s="118">
        <f t="shared" si="29"/>
        <v>1.1739039526764978</v>
      </c>
      <c r="M142" s="118">
        <f t="shared" si="30"/>
        <v>704.34237160589873</v>
      </c>
      <c r="N142" s="119">
        <f t="shared" si="31"/>
        <v>26.539449346320257</v>
      </c>
      <c r="O142" s="111">
        <f>$B$75*M142*(1+$B$17*$D$38/((1-$B$17)*$D$37))</f>
        <v>1.7590749349949746</v>
      </c>
      <c r="P142" s="111">
        <f t="shared" si="40"/>
        <v>5.4173424127437659</v>
      </c>
      <c r="Q142" s="117">
        <f t="shared" si="32"/>
        <v>3.0143855563731387E-15</v>
      </c>
      <c r="R142" s="118">
        <f t="shared" si="33"/>
        <v>3.3549809803877395E-13</v>
      </c>
      <c r="S142" s="118">
        <v>1</v>
      </c>
      <c r="T142" s="118">
        <f t="shared" si="34"/>
        <v>1.6565713806968498</v>
      </c>
      <c r="U142" s="111">
        <f t="shared" si="35"/>
        <v>993.94282841810991</v>
      </c>
      <c r="V142" s="120">
        <f t="shared" si="36"/>
        <v>31.526858841599015</v>
      </c>
      <c r="W142" s="111">
        <f>$B$75*U142*(1+$B$16*$B$38/((1-$B$16)*$B$37))</f>
        <v>2.4071212565517093</v>
      </c>
      <c r="X142" s="112">
        <f t="shared" si="37"/>
        <v>3.1685685332146245</v>
      </c>
    </row>
    <row r="143" spans="1:24" ht="22" thickBot="1" x14ac:dyDescent="0.25">
      <c r="A143" s="49"/>
      <c r="B143" s="49"/>
      <c r="C143" s="137">
        <f t="shared" si="25"/>
        <v>21.340010097743413</v>
      </c>
      <c r="D143" s="30">
        <f t="shared" si="38"/>
        <v>1600</v>
      </c>
      <c r="E143" s="66">
        <v>2</v>
      </c>
      <c r="F143" s="143">
        <f t="shared" si="26"/>
        <v>16.506889379601802</v>
      </c>
      <c r="G143" s="66">
        <f t="shared" si="39"/>
        <v>1600</v>
      </c>
      <c r="H143" s="139">
        <v>1</v>
      </c>
      <c r="I143" s="127">
        <f t="shared" si="27"/>
        <v>1.8261927602546913E-14</v>
      </c>
      <c r="J143" s="118">
        <f t="shared" si="28"/>
        <v>1.241345397819325E-12</v>
      </c>
      <c r="K143" s="118">
        <v>1</v>
      </c>
      <c r="L143" s="118">
        <f t="shared" si="29"/>
        <v>2.3478079053529957</v>
      </c>
      <c r="M143" s="118">
        <f t="shared" si="30"/>
        <v>1408.6847432117975</v>
      </c>
      <c r="N143" s="119">
        <f t="shared" si="31"/>
        <v>37.532449203479878</v>
      </c>
      <c r="O143" s="111">
        <f>$B$75*M143*(1+$B$17*$D$38/((1-$B$17)*$D$37))</f>
        <v>3.5181498699899492</v>
      </c>
      <c r="P143" s="111">
        <f t="shared" si="40"/>
        <v>7.6612791121212194</v>
      </c>
      <c r="Q143" s="117">
        <f t="shared" si="32"/>
        <v>6.0287711127462774E-15</v>
      </c>
      <c r="R143" s="118">
        <f t="shared" si="33"/>
        <v>6.709961960775479E-13</v>
      </c>
      <c r="S143" s="118">
        <v>1</v>
      </c>
      <c r="T143" s="118">
        <f t="shared" si="34"/>
        <v>3.3131427613936997</v>
      </c>
      <c r="U143" s="111">
        <f t="shared" si="35"/>
        <v>1987.8856568362198</v>
      </c>
      <c r="V143" s="120">
        <f t="shared" si="36"/>
        <v>44.585711352811451</v>
      </c>
      <c r="W143" s="111">
        <f>$B$75*U143*(1+$B$16*$B$38/((1-$B$16)*$B$37))</f>
        <v>4.8142425131034186</v>
      </c>
      <c r="X143" s="112">
        <f t="shared" si="37"/>
        <v>4.4810325929807471</v>
      </c>
    </row>
    <row r="144" spans="1:24" ht="22" thickBot="1" x14ac:dyDescent="0.25">
      <c r="A144" s="49"/>
      <c r="B144" s="49"/>
      <c r="C144" s="137">
        <f t="shared" si="25"/>
        <v>36.804694294676793</v>
      </c>
      <c r="D144" s="30">
        <f t="shared" si="38"/>
        <v>3200</v>
      </c>
      <c r="E144" s="66">
        <v>4</v>
      </c>
      <c r="F144" s="143">
        <f t="shared" si="26"/>
        <v>28.983079432946319</v>
      </c>
      <c r="G144" s="66">
        <f t="shared" si="39"/>
        <v>3200</v>
      </c>
      <c r="H144" s="139">
        <v>1</v>
      </c>
      <c r="I144" s="127">
        <f t="shared" si="27"/>
        <v>3.6523855205093825E-14</v>
      </c>
      <c r="J144" s="118">
        <f t="shared" si="28"/>
        <v>2.4826907956386501E-12</v>
      </c>
      <c r="K144" s="118">
        <v>1</v>
      </c>
      <c r="L144" s="118">
        <f t="shared" si="29"/>
        <v>4.6956158107059913</v>
      </c>
      <c r="M144" s="118">
        <f t="shared" si="30"/>
        <v>2817.3694864235949</v>
      </c>
      <c r="N144" s="119">
        <f t="shared" si="31"/>
        <v>53.078898692640514</v>
      </c>
      <c r="O144" s="111">
        <f>$B$75*M144*(1+$B$17*$D$38/((1-$B$17)*$D$37))</f>
        <v>7.0362997399798983</v>
      </c>
      <c r="P144" s="111">
        <f t="shared" si="40"/>
        <v>10.834684825487532</v>
      </c>
      <c r="Q144" s="117">
        <f t="shared" si="32"/>
        <v>1.2057542225492555E-14</v>
      </c>
      <c r="R144" s="118">
        <f t="shared" si="33"/>
        <v>1.3419923921550958E-12</v>
      </c>
      <c r="S144" s="118">
        <v>1</v>
      </c>
      <c r="T144" s="118">
        <f t="shared" si="34"/>
        <v>6.6262855227873994</v>
      </c>
      <c r="U144" s="111">
        <f t="shared" si="35"/>
        <v>3975.7713136724396</v>
      </c>
      <c r="V144" s="120">
        <f t="shared" si="36"/>
        <v>63.05371768319803</v>
      </c>
      <c r="W144" s="111">
        <f>$B$75*U144*(1+$B$16*$B$38/((1-$B$16)*$B$37))</f>
        <v>9.6284850262068371</v>
      </c>
      <c r="X144" s="112">
        <f t="shared" si="37"/>
        <v>6.337137066429249</v>
      </c>
    </row>
    <row r="145" spans="1:24" ht="22" thickBot="1" x14ac:dyDescent="0.25">
      <c r="A145" s="49"/>
      <c r="B145" s="49"/>
      <c r="C145" s="137">
        <f t="shared" si="25"/>
        <v>59.511615755505872</v>
      </c>
      <c r="D145" s="30">
        <f t="shared" si="38"/>
        <v>6400</v>
      </c>
      <c r="E145" s="66">
        <v>2</v>
      </c>
      <c r="F145" s="143">
        <f t="shared" si="26"/>
        <v>47.811789734178646</v>
      </c>
      <c r="G145" s="66">
        <f t="shared" si="39"/>
        <v>6400</v>
      </c>
      <c r="H145" s="139">
        <v>1</v>
      </c>
      <c r="I145" s="127">
        <f t="shared" si="27"/>
        <v>7.304771041018765E-14</v>
      </c>
      <c r="J145" s="118">
        <f t="shared" si="28"/>
        <v>4.9653815912773002E-12</v>
      </c>
      <c r="K145" s="118">
        <v>1</v>
      </c>
      <c r="L145" s="118">
        <f t="shared" si="29"/>
        <v>9.3912316214119826</v>
      </c>
      <c r="M145" s="118">
        <f t="shared" si="30"/>
        <v>5634.7389728471899</v>
      </c>
      <c r="N145" s="119">
        <f t="shared" si="31"/>
        <v>75.064898406959756</v>
      </c>
      <c r="O145" s="111">
        <f>$B$75*M145*(1+$B$17*$D$38/((1-$B$17)*$D$37))</f>
        <v>14.072599479959797</v>
      </c>
      <c r="P145" s="111">
        <f t="shared" si="40"/>
        <v>15.322558224242439</v>
      </c>
      <c r="Q145" s="117">
        <f t="shared" si="32"/>
        <v>2.411508445098511E-14</v>
      </c>
      <c r="R145" s="118">
        <f t="shared" si="33"/>
        <v>2.6839847843101916E-12</v>
      </c>
      <c r="S145" s="118">
        <v>1</v>
      </c>
      <c r="T145" s="118">
        <f t="shared" si="34"/>
        <v>13.252571045574799</v>
      </c>
      <c r="U145" s="111">
        <f t="shared" si="35"/>
        <v>7951.5426273448793</v>
      </c>
      <c r="V145" s="120">
        <f t="shared" si="36"/>
        <v>89.171422705622902</v>
      </c>
      <c r="W145" s="111">
        <f>$B$75*U145*(1+$B$16*$B$38/((1-$B$16)*$B$37))</f>
        <v>19.256970052413674</v>
      </c>
      <c r="X145" s="112">
        <f t="shared" si="37"/>
        <v>8.9620651859614942</v>
      </c>
    </row>
    <row r="146" spans="1:24" ht="22" thickBot="1" x14ac:dyDescent="0.25">
      <c r="A146" s="49"/>
      <c r="B146" s="49"/>
      <c r="C146" s="137">
        <f t="shared" si="25"/>
        <v>90.29377877507342</v>
      </c>
      <c r="D146" s="30">
        <f t="shared" si="38"/>
        <v>12800</v>
      </c>
      <c r="E146" s="66">
        <v>2</v>
      </c>
      <c r="F146" s="143">
        <f t="shared" si="26"/>
        <v>73.992779249987748</v>
      </c>
      <c r="G146" s="66">
        <f t="shared" si="39"/>
        <v>12800</v>
      </c>
      <c r="H146" s="139">
        <v>1</v>
      </c>
      <c r="I146" s="127">
        <f t="shared" si="27"/>
        <v>1.460954208203753E-13</v>
      </c>
      <c r="J146" s="118">
        <f t="shared" si="28"/>
        <v>9.9307631825546003E-12</v>
      </c>
      <c r="K146" s="118">
        <v>1</v>
      </c>
      <c r="L146" s="118">
        <f t="shared" si="29"/>
        <v>18.782463242823965</v>
      </c>
      <c r="M146" s="118">
        <f t="shared" si="30"/>
        <v>11269.47794569438</v>
      </c>
      <c r="N146" s="119">
        <f t="shared" si="31"/>
        <v>106.15779738528103</v>
      </c>
      <c r="O146" s="111">
        <f>$B$75*M146*(1+$B$17*$D$38/((1-$B$17)*$D$37))</f>
        <v>28.145198959919593</v>
      </c>
      <c r="P146" s="111">
        <f t="shared" si="40"/>
        <v>21.669369650975064</v>
      </c>
      <c r="Q146" s="117">
        <f t="shared" si="32"/>
        <v>4.8230168901970219E-14</v>
      </c>
      <c r="R146" s="118">
        <f t="shared" si="33"/>
        <v>5.3679695686203832E-12</v>
      </c>
      <c r="S146" s="118">
        <v>1</v>
      </c>
      <c r="T146" s="118">
        <f t="shared" si="34"/>
        <v>26.505142091149597</v>
      </c>
      <c r="U146" s="111">
        <f t="shared" si="35"/>
        <v>15903.085254689759</v>
      </c>
      <c r="V146" s="120">
        <f t="shared" si="36"/>
        <v>126.10743536639606</v>
      </c>
      <c r="W146" s="111">
        <f>$B$75*U146*(1+$B$16*$B$38/((1-$B$16)*$B$37))</f>
        <v>38.513940104827348</v>
      </c>
      <c r="X146" s="112">
        <f t="shared" si="37"/>
        <v>12.674274132858498</v>
      </c>
    </row>
    <row r="147" spans="1:24" ht="21" x14ac:dyDescent="0.25">
      <c r="A147" s="49"/>
      <c r="B147" s="48"/>
      <c r="C147" s="48"/>
      <c r="D147" s="66"/>
      <c r="E147" s="55"/>
      <c r="F147" s="66"/>
      <c r="G147" s="66"/>
      <c r="H147" s="67"/>
      <c r="I147" s="68"/>
      <c r="J147" s="68"/>
      <c r="K147" s="68"/>
      <c r="L147" s="68"/>
      <c r="M147" s="69"/>
      <c r="N147" s="6"/>
      <c r="O147" s="6"/>
      <c r="P147" s="67"/>
      <c r="Q147" s="68"/>
      <c r="R147" s="68"/>
      <c r="S147" s="68"/>
      <c r="T147" s="70"/>
      <c r="U147" s="72"/>
      <c r="V147" s="6"/>
      <c r="W147" s="70"/>
    </row>
    <row r="155" spans="1:24" x14ac:dyDescent="0.2">
      <c r="H155">
        <f>D38/D37</f>
        <v>0.16666666666666669</v>
      </c>
      <c r="I155">
        <f>1/6</f>
        <v>0.16666666666666666</v>
      </c>
    </row>
    <row r="156" spans="1:24" x14ac:dyDescent="0.2">
      <c r="H156">
        <f>0.9/(1-0.9)</f>
        <v>9.0000000000000018</v>
      </c>
    </row>
    <row r="157" spans="1:24" x14ac:dyDescent="0.2">
      <c r="H157">
        <f>D38</f>
        <v>0.1</v>
      </c>
    </row>
    <row r="173" spans="1:5" x14ac:dyDescent="0.2">
      <c r="B173" t="s">
        <v>1000</v>
      </c>
      <c r="C173" t="s">
        <v>17</v>
      </c>
      <c r="D173" t="s">
        <v>1001</v>
      </c>
      <c r="E173" t="s">
        <v>1002</v>
      </c>
    </row>
    <row r="174" spans="1:5" ht="21" x14ac:dyDescent="0.2">
      <c r="A174" s="66">
        <v>100</v>
      </c>
      <c r="B174" s="26">
        <f>$B$89</f>
        <v>32.896581913037799</v>
      </c>
      <c r="C174" s="26">
        <f>$B$76</f>
        <v>47.781673101952364</v>
      </c>
      <c r="D174" s="8">
        <f>$B$81+$B$84</f>
        <v>14.802469666829339</v>
      </c>
      <c r="E174" s="5">
        <f>$B$80+$B$87</f>
        <v>26.880318372154843</v>
      </c>
    </row>
    <row r="175" spans="1:5" x14ac:dyDescent="0.2">
      <c r="A175" s="30">
        <f t="shared" ref="A175:A181" si="41">2*A174</f>
        <v>200</v>
      </c>
      <c r="B175" s="26">
        <f t="shared" ref="B175:B181" si="42">$B$89</f>
        <v>32.896581913037799</v>
      </c>
      <c r="C175" s="26">
        <f t="shared" ref="C175:C181" si="43">$B$76</f>
        <v>47.781673101952364</v>
      </c>
      <c r="D175" s="8">
        <f t="shared" ref="D175:D181" si="44">$B$81+$B$84</f>
        <v>14.802469666829339</v>
      </c>
      <c r="E175" s="5">
        <f t="shared" ref="E175:E181" si="45">$B$80+$B$87</f>
        <v>26.880318372154843</v>
      </c>
    </row>
    <row r="176" spans="1:5" x14ac:dyDescent="0.2">
      <c r="A176" s="30">
        <f t="shared" si="41"/>
        <v>400</v>
      </c>
      <c r="B176" s="26">
        <f t="shared" si="42"/>
        <v>32.896581913037799</v>
      </c>
      <c r="C176" s="26">
        <f t="shared" si="43"/>
        <v>47.781673101952364</v>
      </c>
      <c r="D176" s="8">
        <f t="shared" si="44"/>
        <v>14.802469666829339</v>
      </c>
      <c r="E176" s="5">
        <f t="shared" si="45"/>
        <v>26.880318372154843</v>
      </c>
    </row>
    <row r="177" spans="1:5" x14ac:dyDescent="0.2">
      <c r="A177" s="30">
        <f t="shared" si="41"/>
        <v>800</v>
      </c>
      <c r="B177" s="26">
        <f t="shared" si="42"/>
        <v>32.896581913037799</v>
      </c>
      <c r="C177" s="26">
        <f t="shared" si="43"/>
        <v>47.781673101952364</v>
      </c>
      <c r="D177" s="8">
        <f t="shared" si="44"/>
        <v>14.802469666829339</v>
      </c>
      <c r="E177" s="5">
        <f t="shared" si="45"/>
        <v>26.880318372154843</v>
      </c>
    </row>
    <row r="178" spans="1:5" x14ac:dyDescent="0.2">
      <c r="A178" s="30">
        <f t="shared" si="41"/>
        <v>1600</v>
      </c>
      <c r="B178" s="26">
        <f t="shared" si="42"/>
        <v>32.896581913037799</v>
      </c>
      <c r="C178" s="26">
        <f t="shared" si="43"/>
        <v>47.781673101952364</v>
      </c>
      <c r="D178" s="8">
        <f t="shared" si="44"/>
        <v>14.802469666829339</v>
      </c>
      <c r="E178" s="5">
        <f t="shared" si="45"/>
        <v>26.880318372154843</v>
      </c>
    </row>
    <row r="179" spans="1:5" x14ac:dyDescent="0.2">
      <c r="A179" s="30">
        <f t="shared" si="41"/>
        <v>3200</v>
      </c>
      <c r="B179" s="26">
        <f t="shared" si="42"/>
        <v>32.896581913037799</v>
      </c>
      <c r="C179" s="26">
        <f t="shared" si="43"/>
        <v>47.781673101952364</v>
      </c>
      <c r="D179" s="8">
        <f t="shared" si="44"/>
        <v>14.802469666829339</v>
      </c>
      <c r="E179" s="5">
        <f t="shared" si="45"/>
        <v>26.880318372154843</v>
      </c>
    </row>
    <row r="180" spans="1:5" x14ac:dyDescent="0.2">
      <c r="A180" s="30">
        <f t="shared" si="41"/>
        <v>6400</v>
      </c>
      <c r="B180" s="26">
        <f t="shared" si="42"/>
        <v>32.896581913037799</v>
      </c>
      <c r="C180" s="26">
        <f t="shared" si="43"/>
        <v>47.781673101952364</v>
      </c>
      <c r="D180" s="8">
        <f t="shared" si="44"/>
        <v>14.802469666829339</v>
      </c>
      <c r="E180" s="5">
        <f t="shared" si="45"/>
        <v>26.880318372154843</v>
      </c>
    </row>
    <row r="181" spans="1:5" x14ac:dyDescent="0.2">
      <c r="A181" s="30">
        <f t="shared" si="41"/>
        <v>12800</v>
      </c>
      <c r="B181" s="26">
        <f t="shared" si="42"/>
        <v>32.896581913037799</v>
      </c>
      <c r="C181" s="26">
        <f t="shared" si="43"/>
        <v>47.781673101952364</v>
      </c>
      <c r="D181" s="8">
        <f t="shared" si="44"/>
        <v>14.802469666829339</v>
      </c>
      <c r="E181" s="5">
        <f t="shared" si="45"/>
        <v>26.880318372154843</v>
      </c>
    </row>
  </sheetData>
  <sortState ref="A95:X119">
    <sortCondition descending="1" ref="G95:G119"/>
  </sortState>
  <hyperlinks>
    <hyperlink ref="A100" r:id="rId1" display="GJ 338 A " xr:uid="{00000000-0004-0000-0100-000000000000}"/>
    <hyperlink ref="A101" r:id="rId2" display="GJ 338 B " xr:uid="{00000000-0004-0000-0100-000001000000}"/>
  </hyperlinks>
  <pageMargins left="0.75" right="0.75" top="1" bottom="1" header="0.5" footer="0.5"/>
  <pageSetup orientation="portrait" horizontalDpi="4294967292" verticalDpi="429496729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BCA17-5053-4146-9F37-0FCBCCA0CFC3}">
  <dimension ref="A1:D42"/>
  <sheetViews>
    <sheetView workbookViewId="0">
      <selection activeCell="C29" sqref="C29"/>
    </sheetView>
  </sheetViews>
  <sheetFormatPr baseColWidth="10" defaultRowHeight="16" x14ac:dyDescent="0.2"/>
  <cols>
    <col min="3" max="3" width="23.33203125" style="4" customWidth="1"/>
    <col min="4" max="4" width="19.6640625" style="4" customWidth="1"/>
  </cols>
  <sheetData>
    <row r="1" spans="1:4" x14ac:dyDescent="0.2">
      <c r="C1" s="4" t="s">
        <v>1148</v>
      </c>
      <c r="D1" s="4" t="s">
        <v>1149</v>
      </c>
    </row>
    <row r="2" spans="1:4" x14ac:dyDescent="0.2">
      <c r="A2" s="40" t="s">
        <v>194</v>
      </c>
      <c r="C2" s="161">
        <v>10.092265015367262</v>
      </c>
      <c r="D2" s="161">
        <v>6.3200398963421227</v>
      </c>
    </row>
    <row r="3" spans="1:4" x14ac:dyDescent="0.2">
      <c r="A3" s="40" t="s">
        <v>190</v>
      </c>
      <c r="C3" s="161">
        <v>10.323678969765243</v>
      </c>
      <c r="D3" s="161">
        <v>6.5481054665674625</v>
      </c>
    </row>
    <row r="4" spans="1:4" x14ac:dyDescent="0.2">
      <c r="A4" s="40" t="s">
        <v>189</v>
      </c>
      <c r="C4" s="161">
        <v>11.143476764556546</v>
      </c>
      <c r="D4" s="161">
        <v>7.0136895444074474</v>
      </c>
    </row>
    <row r="5" spans="1:4" x14ac:dyDescent="0.2">
      <c r="A5" s="40" t="s">
        <v>191</v>
      </c>
      <c r="C5" s="161">
        <v>7.0024895398315765</v>
      </c>
      <c r="D5" s="161">
        <v>4.3298598978518346</v>
      </c>
    </row>
    <row r="6" spans="1:4" x14ac:dyDescent="0.2">
      <c r="A6" s="56" t="s">
        <v>214</v>
      </c>
      <c r="C6" s="161">
        <v>5.279184832629281</v>
      </c>
      <c r="D6" s="161">
        <v>3.2392388331947499</v>
      </c>
    </row>
    <row r="7" spans="1:4" x14ac:dyDescent="0.2">
      <c r="A7" s="43" t="s">
        <v>197</v>
      </c>
      <c r="C7" s="161">
        <v>2.9024861534699844</v>
      </c>
      <c r="D7" s="161">
        <v>1.7658441536881149</v>
      </c>
    </row>
    <row r="8" spans="1:4" x14ac:dyDescent="0.2">
      <c r="A8" s="43" t="s">
        <v>198</v>
      </c>
      <c r="C8" s="161">
        <v>2.777456163554056</v>
      </c>
      <c r="D8" s="161">
        <v>1.6883032988315803</v>
      </c>
    </row>
    <row r="9" spans="1:4" x14ac:dyDescent="0.2">
      <c r="A9" s="45" t="s">
        <v>187</v>
      </c>
      <c r="C9" s="161">
        <v>3.609351242970297</v>
      </c>
      <c r="D9" s="161">
        <v>2.1977880245708659</v>
      </c>
    </row>
    <row r="10" spans="1:4" x14ac:dyDescent="0.2">
      <c r="A10" s="56" t="s">
        <v>213</v>
      </c>
      <c r="C10" s="161">
        <v>2.9902289172253358</v>
      </c>
      <c r="D10" s="161">
        <v>1.8155611381604333</v>
      </c>
    </row>
    <row r="11" spans="1:4" x14ac:dyDescent="0.2">
      <c r="A11" s="40" t="s">
        <v>195</v>
      </c>
      <c r="C11" s="161">
        <v>2.6544836480935494</v>
      </c>
      <c r="D11" s="161">
        <v>1.6091781197888253</v>
      </c>
    </row>
    <row r="12" spans="1:4" x14ac:dyDescent="0.2">
      <c r="A12" s="40" t="s">
        <v>201</v>
      </c>
      <c r="C12" s="161">
        <v>2.3251013363337454</v>
      </c>
      <c r="D12" s="161">
        <v>1.4073220937721187</v>
      </c>
    </row>
    <row r="13" spans="1:4" x14ac:dyDescent="0.2">
      <c r="A13" s="56" t="s">
        <v>215</v>
      </c>
      <c r="C13" s="161">
        <v>1.9552185754086855</v>
      </c>
      <c r="D13" s="161">
        <v>1.182126021424704</v>
      </c>
    </row>
    <row r="14" spans="1:4" x14ac:dyDescent="0.2">
      <c r="A14" s="40" t="s">
        <v>196</v>
      </c>
      <c r="C14" s="161">
        <v>2.1514022976439229</v>
      </c>
      <c r="D14" s="161">
        <v>1.301120263361135</v>
      </c>
    </row>
    <row r="15" spans="1:4" x14ac:dyDescent="0.2">
      <c r="A15" s="40" t="s">
        <v>199</v>
      </c>
      <c r="C15" s="161">
        <v>1.6303512570546004</v>
      </c>
      <c r="D15" s="161">
        <v>1.0369897426462316</v>
      </c>
    </row>
    <row r="16" spans="1:4" x14ac:dyDescent="0.2">
      <c r="A16" s="40" t="s">
        <v>982</v>
      </c>
      <c r="C16" s="161">
        <v>2.0161105909620587</v>
      </c>
      <c r="D16" s="161">
        <v>1.2185194295344166</v>
      </c>
    </row>
    <row r="17" spans="1:4" x14ac:dyDescent="0.2">
      <c r="A17" s="40" t="s">
        <v>188</v>
      </c>
      <c r="C17" s="161">
        <v>1.8462335410553179</v>
      </c>
      <c r="D17" s="161">
        <v>1.1149498656836425</v>
      </c>
    </row>
    <row r="18" spans="1:4" x14ac:dyDescent="0.2">
      <c r="A18" s="40" t="s">
        <v>192</v>
      </c>
      <c r="C18" s="161">
        <v>1.7392789605514192</v>
      </c>
      <c r="D18" s="161">
        <v>1.0498265622836682</v>
      </c>
    </row>
    <row r="19" spans="1:4" x14ac:dyDescent="0.2">
      <c r="A19" s="40" t="s">
        <v>193</v>
      </c>
      <c r="C19" s="161">
        <v>1.4745918091290451</v>
      </c>
      <c r="D19" s="161">
        <v>0.88894189918972855</v>
      </c>
    </row>
    <row r="20" spans="1:4" x14ac:dyDescent="0.2">
      <c r="A20" s="40" t="s">
        <v>200</v>
      </c>
      <c r="C20" s="161">
        <v>1.4366422471971296</v>
      </c>
      <c r="D20" s="161">
        <v>0.86590778725193218</v>
      </c>
    </row>
    <row r="21" spans="1:4" x14ac:dyDescent="0.2">
      <c r="A21" s="40" t="s">
        <v>216</v>
      </c>
      <c r="C21" s="161">
        <v>1.18517188456847</v>
      </c>
      <c r="D21" s="161">
        <v>0.71348175075162901</v>
      </c>
    </row>
    <row r="22" spans="1:4" x14ac:dyDescent="0.2">
      <c r="A22" s="40" t="s">
        <v>205</v>
      </c>
      <c r="C22" s="161">
        <v>0.94684746108845663</v>
      </c>
      <c r="D22" s="161">
        <v>0.56935840531765813</v>
      </c>
    </row>
    <row r="23" spans="1:4" x14ac:dyDescent="0.2">
      <c r="A23" s="40" t="s">
        <v>206</v>
      </c>
      <c r="C23" s="161">
        <v>0.27791028696122078</v>
      </c>
      <c r="D23" s="161">
        <v>0.16657523196660634</v>
      </c>
    </row>
    <row r="24" spans="1:4" x14ac:dyDescent="0.2">
      <c r="A24" s="40" t="s">
        <v>202</v>
      </c>
      <c r="C24" s="161">
        <v>0.13424988444840158</v>
      </c>
      <c r="D24" s="161">
        <v>8.0766891041388497E-2</v>
      </c>
    </row>
    <row r="25" spans="1:4" x14ac:dyDescent="0.2">
      <c r="A25" s="40" t="s">
        <v>203</v>
      </c>
      <c r="C25" s="161">
        <v>7.8528578925028389E-2</v>
      </c>
      <c r="D25" s="161">
        <v>4.7023390303479205E-2</v>
      </c>
    </row>
    <row r="26" spans="1:4" x14ac:dyDescent="0.2">
      <c r="A26" s="40" t="s">
        <v>204</v>
      </c>
      <c r="C26" s="161">
        <v>6.8172331901456412E-2</v>
      </c>
      <c r="D26" s="161">
        <v>4.081995528308819E-2</v>
      </c>
    </row>
    <row r="27" spans="1:4" x14ac:dyDescent="0.2">
      <c r="A27" s="40" t="s">
        <v>145</v>
      </c>
      <c r="C27" s="161">
        <v>18.73892758689195</v>
      </c>
      <c r="D27" s="161">
        <v>12.150446947654185</v>
      </c>
    </row>
    <row r="28" spans="1:4" x14ac:dyDescent="0.2">
      <c r="A28" s="40" t="s">
        <v>159</v>
      </c>
      <c r="C28" s="161">
        <v>8.0069724689629229</v>
      </c>
      <c r="D28" s="161">
        <v>4.9728101613160591</v>
      </c>
    </row>
    <row r="29" spans="1:4" x14ac:dyDescent="0.2">
      <c r="A29" s="40" t="s">
        <v>14</v>
      </c>
      <c r="C29" s="161">
        <v>3.0845187850911127</v>
      </c>
      <c r="D29" s="161">
        <v>1.8736347903596351</v>
      </c>
    </row>
    <row r="30" spans="1:4" x14ac:dyDescent="0.2">
      <c r="A30" s="50" t="s">
        <v>147</v>
      </c>
      <c r="C30" s="161">
        <v>3.5491510977912162</v>
      </c>
      <c r="D30" s="161">
        <v>2.1605287097630868</v>
      </c>
    </row>
    <row r="31" spans="1:4" x14ac:dyDescent="0.2">
      <c r="A31" s="50" t="s">
        <v>148</v>
      </c>
      <c r="C31" s="161">
        <v>4.1997822436617716</v>
      </c>
      <c r="D31" s="161">
        <v>2.564282697908693</v>
      </c>
    </row>
    <row r="32" spans="1:4" x14ac:dyDescent="0.2">
      <c r="A32" s="50" t="s">
        <v>149</v>
      </c>
      <c r="C32" s="161">
        <v>2.9226082011278351</v>
      </c>
      <c r="D32" s="161">
        <v>1.77394378890395</v>
      </c>
    </row>
    <row r="33" spans="1:4" x14ac:dyDescent="0.2">
      <c r="A33" s="40" t="s">
        <v>150</v>
      </c>
      <c r="C33" s="161">
        <v>1.9531502701326859</v>
      </c>
      <c r="D33" s="161">
        <v>1.1801150802806526</v>
      </c>
    </row>
    <row r="34" spans="1:4" x14ac:dyDescent="0.2">
      <c r="A34" s="50" t="s">
        <v>151</v>
      </c>
      <c r="C34" s="161">
        <v>1.9310431988731807</v>
      </c>
      <c r="D34" s="161">
        <v>1.1666356086030121</v>
      </c>
    </row>
    <row r="35" spans="1:4" x14ac:dyDescent="0.2">
      <c r="A35" s="50" t="s">
        <v>152</v>
      </c>
      <c r="C35" s="161">
        <v>1.4858097311662395</v>
      </c>
      <c r="D35" s="161">
        <v>0.89575237642230898</v>
      </c>
    </row>
    <row r="36" spans="1:4" x14ac:dyDescent="0.2">
      <c r="A36" s="50" t="s">
        <v>153</v>
      </c>
      <c r="C36" s="161">
        <v>1.2506802157156769</v>
      </c>
      <c r="D36" s="161">
        <v>0.75315406036219612</v>
      </c>
    </row>
    <row r="37" spans="1:4" x14ac:dyDescent="0.2">
      <c r="A37" s="51" t="s">
        <v>154</v>
      </c>
      <c r="C37" s="161">
        <v>1.5540510124272009</v>
      </c>
      <c r="D37" s="161">
        <v>0.93719759752120524</v>
      </c>
    </row>
    <row r="38" spans="1:4" x14ac:dyDescent="0.2">
      <c r="A38" s="40" t="s">
        <v>133</v>
      </c>
      <c r="C38" s="161">
        <v>1.18517188456847</v>
      </c>
      <c r="D38" s="161">
        <v>0.71348175075162901</v>
      </c>
    </row>
    <row r="39" spans="1:4" x14ac:dyDescent="0.2">
      <c r="A39" s="41" t="s">
        <v>139</v>
      </c>
      <c r="C39" s="161">
        <v>0.61944526671079425</v>
      </c>
      <c r="D39" s="161">
        <v>0.37189899680465793</v>
      </c>
    </row>
    <row r="40" spans="1:4" x14ac:dyDescent="0.2">
      <c r="A40" s="40" t="s">
        <v>13</v>
      </c>
      <c r="C40" s="161">
        <v>4.4196933839756101</v>
      </c>
      <c r="D40" s="161">
        <v>2.7012777673312458</v>
      </c>
    </row>
    <row r="41" spans="1:4" x14ac:dyDescent="0.2">
      <c r="A41" s="40" t="s">
        <v>136</v>
      </c>
      <c r="C41" s="161">
        <v>0.54023551162245997</v>
      </c>
      <c r="D41" s="161">
        <v>0.32421967100475269</v>
      </c>
    </row>
    <row r="42" spans="1:4" ht="21" x14ac:dyDescent="0.25">
      <c r="A42" s="65" t="s">
        <v>218</v>
      </c>
      <c r="C42" s="161">
        <v>18.870445530682915</v>
      </c>
      <c r="D42" s="161">
        <v>12.241648777391591</v>
      </c>
    </row>
  </sheetData>
  <hyperlinks>
    <hyperlink ref="A7" r:id="rId1" display="GJ 338 A " xr:uid="{AA39530A-4AC5-8D47-873E-B3FBAB0628A4}"/>
    <hyperlink ref="A8" r:id="rId2" display="GJ 338 B " xr:uid="{F226891B-5E95-1A46-84AF-6A512D339A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DA34-FFBC-2243-94CC-29B90049E22E}">
  <dimension ref="A1:G27"/>
  <sheetViews>
    <sheetView workbookViewId="0">
      <selection activeCell="G27" sqref="A1:G27"/>
    </sheetView>
  </sheetViews>
  <sheetFormatPr baseColWidth="10" defaultRowHeight="16" x14ac:dyDescent="0.2"/>
  <cols>
    <col min="3" max="3" width="17.1640625" customWidth="1"/>
    <col min="4" max="4" width="23.5" customWidth="1"/>
    <col min="6" max="6" width="15.33203125" customWidth="1"/>
    <col min="7" max="7" width="20.1640625" customWidth="1"/>
  </cols>
  <sheetData>
    <row r="1" spans="1:7" ht="17" thickBot="1" x14ac:dyDescent="0.25">
      <c r="A1" s="103"/>
      <c r="B1" s="166" t="s">
        <v>217</v>
      </c>
      <c r="C1" s="167"/>
      <c r="D1" s="168"/>
      <c r="E1" s="166" t="s">
        <v>87</v>
      </c>
      <c r="F1" s="167"/>
      <c r="G1" s="168"/>
    </row>
    <row r="2" spans="1:7" ht="32" x14ac:dyDescent="0.2">
      <c r="A2" s="106" t="s">
        <v>3</v>
      </c>
      <c r="B2" s="106" t="s">
        <v>39</v>
      </c>
      <c r="C2" s="107" t="s">
        <v>184</v>
      </c>
      <c r="D2" s="108" t="s">
        <v>97</v>
      </c>
      <c r="E2" s="106" t="s">
        <v>39</v>
      </c>
      <c r="F2" s="107" t="s">
        <v>184</v>
      </c>
      <c r="G2" s="108" t="s">
        <v>97</v>
      </c>
    </row>
    <row r="3" spans="1:7" x14ac:dyDescent="0.2">
      <c r="A3" s="104" t="s">
        <v>121</v>
      </c>
      <c r="B3" s="109">
        <v>6.3200398963421227</v>
      </c>
      <c r="C3" s="111">
        <v>479.85</v>
      </c>
      <c r="D3" s="112">
        <v>422.47335876886314</v>
      </c>
      <c r="E3" s="109">
        <v>41.441861764436624</v>
      </c>
      <c r="F3" s="111">
        <v>3543.52</v>
      </c>
      <c r="G3" s="112">
        <v>4402.5703641951777</v>
      </c>
    </row>
    <row r="4" spans="1:7" x14ac:dyDescent="0.2">
      <c r="A4" s="104" t="s">
        <v>120</v>
      </c>
      <c r="B4" s="109">
        <v>6.5481054665674625</v>
      </c>
      <c r="C4" s="111">
        <v>509.77</v>
      </c>
      <c r="D4" s="112">
        <v>448.8157634669239</v>
      </c>
      <c r="E4" s="109">
        <v>40.288134608573614</v>
      </c>
      <c r="F4" s="111">
        <v>3415.94</v>
      </c>
      <c r="G4" s="112">
        <v>4244.0613316331992</v>
      </c>
    </row>
    <row r="5" spans="1:7" x14ac:dyDescent="0.2">
      <c r="A5" s="104" t="s">
        <v>1090</v>
      </c>
      <c r="B5" s="109">
        <v>7.0136895444074474</v>
      </c>
      <c r="C5" s="111">
        <v>537.65519200938729</v>
      </c>
      <c r="D5" s="112">
        <v>473.36666630764597</v>
      </c>
      <c r="E5" s="109">
        <v>38.353098402813607</v>
      </c>
      <c r="F5" s="111">
        <v>3187.8369223351574</v>
      </c>
      <c r="G5" s="112">
        <v>3960.6595589018621</v>
      </c>
    </row>
    <row r="6" spans="1:7" x14ac:dyDescent="0.2">
      <c r="A6" s="104" t="s">
        <v>1091</v>
      </c>
      <c r="B6" s="109">
        <v>4.3298598978518346</v>
      </c>
      <c r="C6" s="111">
        <v>321.27082788885025</v>
      </c>
      <c r="D6" s="112">
        <v>282.85582105377904</v>
      </c>
      <c r="E6" s="109">
        <v>26.454417797037543</v>
      </c>
      <c r="F6" s="111">
        <v>1938.8735962895271</v>
      </c>
      <c r="G6" s="112">
        <v>2408.9118828015071</v>
      </c>
    </row>
    <row r="7" spans="1:7" x14ac:dyDescent="0.2">
      <c r="A7" s="104" t="s">
        <v>1092</v>
      </c>
      <c r="B7" s="109">
        <v>3.2392388331947499</v>
      </c>
      <c r="C7" s="111">
        <v>237.18746317983027</v>
      </c>
      <c r="D7" s="112">
        <v>208.82647541408562</v>
      </c>
      <c r="E7" s="109">
        <v>21.874737393038046</v>
      </c>
      <c r="F7" s="111">
        <v>1526.9528131744171</v>
      </c>
      <c r="G7" s="112">
        <v>1897.1297474844632</v>
      </c>
    </row>
    <row r="8" spans="1:7" x14ac:dyDescent="0.2">
      <c r="A8" s="104" t="s">
        <v>122</v>
      </c>
      <c r="B8" s="109">
        <v>1.7658441536881149</v>
      </c>
      <c r="C8" s="111">
        <v>127.5</v>
      </c>
      <c r="D8" s="112">
        <v>112.25456547469011</v>
      </c>
      <c r="E8" s="109">
        <v>37.322512597719687</v>
      </c>
      <c r="F8" s="111">
        <v>3058.73</v>
      </c>
      <c r="G8" s="112">
        <v>3800.2534344591581</v>
      </c>
    </row>
    <row r="9" spans="1:7" x14ac:dyDescent="0.2">
      <c r="A9" s="104" t="s">
        <v>138</v>
      </c>
      <c r="B9" s="109">
        <v>1.6883032988315803</v>
      </c>
      <c r="C9" s="111">
        <v>121.73</v>
      </c>
      <c r="D9" s="112">
        <v>107.17449611948255</v>
      </c>
      <c r="E9" s="109">
        <v>35.825673288225559</v>
      </c>
      <c r="F9" s="111">
        <v>2890.5</v>
      </c>
      <c r="G9" s="112">
        <v>3591.2396819281839</v>
      </c>
    </row>
    <row r="10" spans="1:7" x14ac:dyDescent="0.2">
      <c r="A10" s="104" t="s">
        <v>1093</v>
      </c>
      <c r="B10" s="109">
        <v>2.1977880245708659</v>
      </c>
      <c r="C10" s="111">
        <v>158.90917754242929</v>
      </c>
      <c r="D10" s="112">
        <v>139.90808372522181</v>
      </c>
      <c r="E10" s="109">
        <v>18.284211790605106</v>
      </c>
      <c r="F10" s="111">
        <v>1228.379320082247</v>
      </c>
      <c r="G10" s="112">
        <v>1526.1735197160792</v>
      </c>
    </row>
    <row r="11" spans="1:7" x14ac:dyDescent="0.2">
      <c r="A11" s="104" t="s">
        <v>1094</v>
      </c>
      <c r="B11" s="109">
        <v>1.8155611381604333</v>
      </c>
      <c r="C11" s="111">
        <v>130.66577930757904</v>
      </c>
      <c r="D11" s="112">
        <v>115.04180610654153</v>
      </c>
      <c r="E11" s="109">
        <v>13.966240089091896</v>
      </c>
      <c r="F11" s="111">
        <v>896.03574785196179</v>
      </c>
      <c r="G11" s="112">
        <v>1113.2603819796448</v>
      </c>
    </row>
    <row r="12" spans="1:7" x14ac:dyDescent="0.2">
      <c r="A12" s="104" t="s">
        <v>1095</v>
      </c>
      <c r="B12" s="109">
        <v>1.6091781197888253</v>
      </c>
      <c r="C12" s="111">
        <v>115.52311346749178</v>
      </c>
      <c r="D12" s="112">
        <v>101.70977964373813</v>
      </c>
      <c r="E12" s="109">
        <v>16.504300962600453</v>
      </c>
      <c r="F12" s="111">
        <v>1087.9419835018498</v>
      </c>
      <c r="G12" s="112">
        <v>1351.6901652957968</v>
      </c>
    </row>
    <row r="13" spans="1:7" x14ac:dyDescent="0.2">
      <c r="A13" s="104" t="s">
        <v>1096</v>
      </c>
      <c r="B13" s="109">
        <v>1.4073220937721187</v>
      </c>
      <c r="C13" s="111">
        <v>100.78503803387537</v>
      </c>
      <c r="D13" s="112">
        <v>88.733965888963084</v>
      </c>
      <c r="E13" s="109">
        <v>9.1490647555067515</v>
      </c>
      <c r="F13" s="111">
        <v>557.58013981103636</v>
      </c>
      <c r="G13" s="112">
        <v>692.75347654193354</v>
      </c>
    </row>
    <row r="14" spans="1:7" x14ac:dyDescent="0.2">
      <c r="A14" s="104" t="s">
        <v>1097</v>
      </c>
      <c r="B14" s="109">
        <v>1.182126021424704</v>
      </c>
      <c r="C14" s="111">
        <v>84.51</v>
      </c>
      <c r="D14" s="112">
        <v>74.404967280518136</v>
      </c>
      <c r="E14" s="109">
        <v>13.809200868483874</v>
      </c>
      <c r="F14" s="111">
        <v>883.42</v>
      </c>
      <c r="G14" s="112">
        <v>1097.5862168514086</v>
      </c>
    </row>
    <row r="15" spans="1:7" x14ac:dyDescent="0.2">
      <c r="A15" s="104" t="s">
        <v>1098</v>
      </c>
      <c r="B15" s="109">
        <v>1.301120263361135</v>
      </c>
      <c r="C15" s="111">
        <v>93.059607759397522</v>
      </c>
      <c r="D15" s="112">
        <v>81.932281037460939</v>
      </c>
      <c r="E15" s="109">
        <v>11.373557555132514</v>
      </c>
      <c r="F15" s="111">
        <v>709.78774461437069</v>
      </c>
      <c r="G15" s="112">
        <v>881.86054807314861</v>
      </c>
    </row>
    <row r="16" spans="1:7" x14ac:dyDescent="0.2">
      <c r="A16" s="104" t="s">
        <v>1099</v>
      </c>
      <c r="B16" s="109">
        <v>1.0369897426462316</v>
      </c>
      <c r="C16" s="111">
        <v>81.17</v>
      </c>
      <c r="D16" s="112">
        <v>71.464337879063535</v>
      </c>
      <c r="E16" s="109">
        <v>52.19061100862077</v>
      </c>
      <c r="F16" s="111">
        <v>5043.8599999999997</v>
      </c>
      <c r="G16" s="112">
        <v>6266.6355931812132</v>
      </c>
    </row>
    <row r="17" spans="1:7" x14ac:dyDescent="0.2">
      <c r="A17" s="104" t="s">
        <v>1100</v>
      </c>
      <c r="B17" s="109">
        <v>1.2185194295344166</v>
      </c>
      <c r="C17" s="111">
        <v>87.064611701067804</v>
      </c>
      <c r="D17" s="112">
        <v>76.654118860595972</v>
      </c>
      <c r="E17" s="109">
        <v>11.513117137466651</v>
      </c>
      <c r="F17" s="111">
        <v>719.56762702855337</v>
      </c>
      <c r="G17" s="112">
        <v>894.01135305858531</v>
      </c>
    </row>
    <row r="18" spans="1:7" x14ac:dyDescent="0.2">
      <c r="A18" s="104" t="s">
        <v>1101</v>
      </c>
      <c r="B18" s="109">
        <v>1.1149498656836425</v>
      </c>
      <c r="C18" s="111">
        <v>79.564567774687561</v>
      </c>
      <c r="D18" s="112">
        <v>70.050870452777147</v>
      </c>
      <c r="E18" s="109">
        <v>10.017370032905665</v>
      </c>
      <c r="F18" s="111">
        <v>616.17559968932596</v>
      </c>
      <c r="G18" s="112">
        <v>765.55414794679234</v>
      </c>
    </row>
    <row r="19" spans="1:7" x14ac:dyDescent="0.2">
      <c r="A19" s="104" t="s">
        <v>1102</v>
      </c>
      <c r="B19" s="109">
        <v>1.0498265622836682</v>
      </c>
      <c r="C19" s="111">
        <v>74.858196892105525</v>
      </c>
      <c r="D19" s="112">
        <v>65.907249916408659</v>
      </c>
      <c r="E19" s="109">
        <v>10.971670348936875</v>
      </c>
      <c r="F19" s="111">
        <v>681.77842915598865</v>
      </c>
      <c r="G19" s="112">
        <v>847.06097528719943</v>
      </c>
    </row>
    <row r="20" spans="1:7" x14ac:dyDescent="0.2">
      <c r="A20" s="104" t="s">
        <v>1103</v>
      </c>
      <c r="B20" s="109">
        <v>0.88894189918972855</v>
      </c>
      <c r="C20" s="111">
        <v>63.262883046399878</v>
      </c>
      <c r="D20" s="112">
        <v>55.698411349409866</v>
      </c>
      <c r="E20" s="109">
        <v>8.1132653473673404</v>
      </c>
      <c r="F20" s="111">
        <v>489.0266154843722</v>
      </c>
      <c r="G20" s="112">
        <v>607.58062170784069</v>
      </c>
    </row>
    <row r="21" spans="1:7" x14ac:dyDescent="0.2">
      <c r="A21" s="104" t="s">
        <v>1104</v>
      </c>
      <c r="B21" s="109">
        <v>0.86590778725193218</v>
      </c>
      <c r="C21" s="111">
        <v>61.606439086726937</v>
      </c>
      <c r="D21" s="112">
        <v>54.240031765674487</v>
      </c>
      <c r="E21" s="109">
        <v>10.81389697353654</v>
      </c>
      <c r="F21" s="111">
        <v>670.84461264003551</v>
      </c>
      <c r="G21" s="112">
        <v>833.4764896456104</v>
      </c>
    </row>
    <row r="22" spans="1:7" x14ac:dyDescent="0.2">
      <c r="A22" s="104" t="s">
        <v>1105</v>
      </c>
      <c r="B22" s="109">
        <v>0.71348175075162901</v>
      </c>
      <c r="C22" s="111">
        <v>50.668232263425637</v>
      </c>
      <c r="D22" s="112">
        <v>44.60972859687466</v>
      </c>
      <c r="E22" s="109">
        <v>6.5152670692641514</v>
      </c>
      <c r="F22" s="111">
        <v>386.08081063385475</v>
      </c>
      <c r="G22" s="112">
        <v>479.67781614921302</v>
      </c>
    </row>
    <row r="23" spans="1:7" x14ac:dyDescent="0.2">
      <c r="A23" s="104" t="s">
        <v>1106</v>
      </c>
      <c r="B23" s="109">
        <v>0.56935840531765813</v>
      </c>
      <c r="C23" s="111">
        <v>40.362755803372465</v>
      </c>
      <c r="D23" s="112">
        <v>35.536498933871385</v>
      </c>
      <c r="E23" s="109">
        <v>5.8058446802969144</v>
      </c>
      <c r="F23" s="111">
        <v>341.45422938737551</v>
      </c>
      <c r="G23" s="112">
        <v>424.23247816576782</v>
      </c>
    </row>
    <row r="24" spans="1:7" x14ac:dyDescent="0.2">
      <c r="A24" s="104" t="s">
        <v>1107</v>
      </c>
      <c r="B24" s="109">
        <v>0.16657523196660634</v>
      </c>
      <c r="C24" s="111">
        <v>11.751362035088661</v>
      </c>
      <c r="D24" s="112">
        <v>10.346227756742332</v>
      </c>
      <c r="E24" s="109">
        <v>0.45459928900202773</v>
      </c>
      <c r="F24" s="111">
        <v>25.259264509494955</v>
      </c>
      <c r="G24" s="112">
        <v>31.38283101291076</v>
      </c>
    </row>
    <row r="25" spans="1:7" x14ac:dyDescent="0.2">
      <c r="A25" s="104" t="s">
        <v>1108</v>
      </c>
      <c r="B25" s="109">
        <v>8.0766891041388497E-2</v>
      </c>
      <c r="C25" s="111">
        <v>5.73</v>
      </c>
      <c r="D25" s="112">
        <v>5.0448522366272499</v>
      </c>
      <c r="E25" s="109">
        <v>3.8680824039879531</v>
      </c>
      <c r="F25" s="111">
        <v>223.04</v>
      </c>
      <c r="G25" s="112">
        <v>277.11126056296911</v>
      </c>
    </row>
    <row r="26" spans="1:7" x14ac:dyDescent="0.2">
      <c r="A26" s="104" t="s">
        <v>1109</v>
      </c>
      <c r="B26" s="109">
        <v>4.7023390303479205E-2</v>
      </c>
      <c r="C26" s="111">
        <v>3.3125575919956014</v>
      </c>
      <c r="D26" s="112">
        <v>2.9164683380341341</v>
      </c>
      <c r="E26" s="109">
        <v>0.22237248670487686</v>
      </c>
      <c r="F26" s="111">
        <v>12.325512215034351</v>
      </c>
      <c r="G26" s="112">
        <v>15.313568090891513</v>
      </c>
    </row>
    <row r="27" spans="1:7" ht="17" thickBot="1" x14ac:dyDescent="0.25">
      <c r="A27" s="105" t="s">
        <v>1110</v>
      </c>
      <c r="B27" s="110">
        <v>4.081995528308819E-2</v>
      </c>
      <c r="C27" s="113">
        <v>2.8753414544562688</v>
      </c>
      <c r="D27" s="114">
        <v>2.531531024010603</v>
      </c>
      <c r="E27" s="110">
        <v>0.4406258579811993</v>
      </c>
      <c r="F27" s="113">
        <v>24.479224565186552</v>
      </c>
      <c r="G27" s="114">
        <v>30.413687127254512</v>
      </c>
    </row>
  </sheetData>
  <mergeCells count="2">
    <mergeCell ref="B1:D1"/>
    <mergeCell ref="E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2"/>
  <sheetViews>
    <sheetView workbookViewId="0">
      <selection activeCell="A21" sqref="A21"/>
    </sheetView>
  </sheetViews>
  <sheetFormatPr baseColWidth="10" defaultRowHeight="16" x14ac:dyDescent="0.2"/>
  <cols>
    <col min="1" max="1" width="25.6640625" customWidth="1"/>
    <col min="6" max="6" width="11.1640625" bestFit="1" customWidth="1"/>
    <col min="8" max="8" width="24.1640625" customWidth="1"/>
  </cols>
  <sheetData>
    <row r="1" spans="1:8" x14ac:dyDescent="0.2">
      <c r="A1" t="s">
        <v>40</v>
      </c>
    </row>
    <row r="2" spans="1:8" x14ac:dyDescent="0.2">
      <c r="A2" t="s">
        <v>41</v>
      </c>
    </row>
    <row r="3" spans="1:8" x14ac:dyDescent="0.2">
      <c r="A3" t="s">
        <v>42</v>
      </c>
      <c r="B3">
        <v>0.24329999999999999</v>
      </c>
      <c r="C3" t="s">
        <v>43</v>
      </c>
    </row>
    <row r="4" spans="1:8" x14ac:dyDescent="0.2">
      <c r="A4" t="s">
        <v>44</v>
      </c>
      <c r="B4">
        <v>-2.327</v>
      </c>
      <c r="C4" t="s">
        <v>45</v>
      </c>
    </row>
    <row r="5" spans="1:8" x14ac:dyDescent="0.2">
      <c r="A5" s="2" t="s">
        <v>5</v>
      </c>
      <c r="B5" s="2">
        <v>2267</v>
      </c>
      <c r="C5" s="2" t="s">
        <v>0</v>
      </c>
      <c r="D5" t="s">
        <v>4</v>
      </c>
    </row>
    <row r="6" spans="1:8" x14ac:dyDescent="0.2">
      <c r="A6" s="2" t="s">
        <v>6</v>
      </c>
      <c r="B6" s="2">
        <v>1516</v>
      </c>
      <c r="C6" s="2" t="s">
        <v>0</v>
      </c>
      <c r="D6" t="s">
        <v>4</v>
      </c>
    </row>
    <row r="7" spans="1:8" x14ac:dyDescent="0.2">
      <c r="A7" s="2" t="s">
        <v>47</v>
      </c>
      <c r="B7" s="2">
        <f>'ETC First Principles'!D34</f>
        <v>1621.24</v>
      </c>
      <c r="C7" s="2" t="s">
        <v>0</v>
      </c>
    </row>
    <row r="8" spans="1:8" x14ac:dyDescent="0.2">
      <c r="A8" s="2" t="s">
        <v>48</v>
      </c>
      <c r="B8" s="2" t="e">
        <f>'ETC First Principles'!#REF!</f>
        <v>#REF!</v>
      </c>
      <c r="C8" s="2" t="s">
        <v>0</v>
      </c>
    </row>
    <row r="9" spans="1:8" ht="64" x14ac:dyDescent="0.2">
      <c r="A9" s="2"/>
      <c r="B9" s="2"/>
      <c r="C9" s="2"/>
      <c r="H9" s="48" t="s">
        <v>143</v>
      </c>
    </row>
    <row r="10" spans="1:8" x14ac:dyDescent="0.2">
      <c r="A10" s="10"/>
      <c r="B10" s="10"/>
      <c r="C10" s="10"/>
      <c r="D10" s="3"/>
      <c r="E10" s="3"/>
      <c r="F10" s="3" t="s">
        <v>46</v>
      </c>
      <c r="G10" s="3" t="s">
        <v>46</v>
      </c>
      <c r="H10" s="3" t="s">
        <v>46</v>
      </c>
    </row>
    <row r="11" spans="1:8" x14ac:dyDescent="0.2">
      <c r="A11" s="3" t="s">
        <v>3</v>
      </c>
      <c r="B11" s="3" t="s">
        <v>12</v>
      </c>
      <c r="C11" s="3" t="s">
        <v>16</v>
      </c>
      <c r="D11" s="3" t="s">
        <v>8</v>
      </c>
      <c r="E11" s="3" t="s">
        <v>9</v>
      </c>
      <c r="F11" s="3" t="s">
        <v>7</v>
      </c>
      <c r="G11" s="3" t="s">
        <v>10</v>
      </c>
      <c r="H11" s="3" t="s">
        <v>1012</v>
      </c>
    </row>
    <row r="13" spans="1:8" x14ac:dyDescent="0.2">
      <c r="A13" s="40" t="s">
        <v>145</v>
      </c>
      <c r="B13" s="41" t="s">
        <v>86</v>
      </c>
      <c r="C13" s="41">
        <v>0</v>
      </c>
      <c r="D13" s="40">
        <v>15.248295799999999</v>
      </c>
      <c r="E13" s="40">
        <v>16.870313599999999</v>
      </c>
      <c r="F13">
        <f t="shared" ref="F13:F30" si="0">36*10^((D13-20.08)/(-2.5))</f>
        <v>3083.0756467745637</v>
      </c>
      <c r="G13">
        <f>IF(E13=-999,-999,108*10^((E13-18.82)/(-2.5)))</f>
        <v>650.57641575215166</v>
      </c>
      <c r="H13" s="42">
        <f>((G13-F13)/($B$6-$B$5))*($B$7-$B$5)+F13</f>
        <v>991.45020945760916</v>
      </c>
    </row>
    <row r="14" spans="1:8" x14ac:dyDescent="0.2">
      <c r="A14" s="165" t="s">
        <v>120</v>
      </c>
      <c r="B14" s="41" t="s">
        <v>104</v>
      </c>
      <c r="C14" s="41">
        <v>1</v>
      </c>
      <c r="D14" s="41">
        <v>15.6141825</v>
      </c>
      <c r="E14" s="41">
        <v>17.436576800000001</v>
      </c>
      <c r="F14" s="41">
        <f>36*10^((D14-20.08)/(-2.5))</f>
        <v>2201.0479346536376</v>
      </c>
      <c r="G14" s="41">
        <f t="shared" ref="G14:G30" si="1">IF(E14=-999,-999,108*10^((E14-18.82)/(-2.5)))</f>
        <v>386.18289642213881</v>
      </c>
      <c r="H14" s="42">
        <f t="shared" ref="H14:H52" si="2">((G14-F14)/($B$6-$B$5))*($B$7-$B$5)+F14</f>
        <v>640.50566156659011</v>
      </c>
    </row>
    <row r="15" spans="1:8" x14ac:dyDescent="0.2">
      <c r="A15" s="165" t="s">
        <v>121</v>
      </c>
      <c r="B15" s="41" t="s">
        <v>105</v>
      </c>
      <c r="C15" s="41">
        <v>4.5</v>
      </c>
      <c r="D15" s="41">
        <v>15.813693000000001</v>
      </c>
      <c r="E15" s="42">
        <f>D15-($B$3*C15+$B$4)</f>
        <v>17.045843000000001</v>
      </c>
      <c r="F15" s="41">
        <f t="shared" si="0"/>
        <v>1831.5775040745991</v>
      </c>
      <c r="G15" s="41">
        <f t="shared" si="1"/>
        <v>553.46040364333828</v>
      </c>
      <c r="H15" s="42">
        <f t="shared" si="2"/>
        <v>732.56698639884553</v>
      </c>
    </row>
    <row r="16" spans="1:8" x14ac:dyDescent="0.2">
      <c r="A16" s="165" t="s">
        <v>146</v>
      </c>
      <c r="B16" s="41" t="s">
        <v>106</v>
      </c>
      <c r="C16" s="41">
        <v>4</v>
      </c>
      <c r="D16">
        <v>15.964591</v>
      </c>
      <c r="E16">
        <v>17.4962959</v>
      </c>
      <c r="F16">
        <f t="shared" si="0"/>
        <v>1593.9184611675787</v>
      </c>
      <c r="G16">
        <f t="shared" si="1"/>
        <v>365.51516096657241</v>
      </c>
      <c r="H16" s="42">
        <f t="shared" si="2"/>
        <v>537.65519200938729</v>
      </c>
    </row>
    <row r="17" spans="1:8" x14ac:dyDescent="0.2">
      <c r="A17" s="40" t="s">
        <v>13</v>
      </c>
      <c r="B17" s="41" t="s">
        <v>160</v>
      </c>
      <c r="C17" s="41">
        <v>3</v>
      </c>
      <c r="D17">
        <v>16.210645700000001</v>
      </c>
      <c r="E17">
        <v>20.575119000000001</v>
      </c>
      <c r="F17">
        <f t="shared" si="0"/>
        <v>1270.703484292874</v>
      </c>
      <c r="G17">
        <f t="shared" si="1"/>
        <v>21.447474270028536</v>
      </c>
      <c r="H17" s="42">
        <f t="shared" si="2"/>
        <v>196.5096613469982</v>
      </c>
    </row>
    <row r="18" spans="1:8" x14ac:dyDescent="0.2">
      <c r="A18" s="40" t="s">
        <v>159</v>
      </c>
      <c r="B18" s="41" t="s">
        <v>107</v>
      </c>
      <c r="C18" s="41">
        <v>1.5</v>
      </c>
      <c r="D18">
        <v>16.220928199999999</v>
      </c>
      <c r="E18">
        <v>18.011882799999999</v>
      </c>
      <c r="F18">
        <f t="shared" si="0"/>
        <v>1258.7260515182033</v>
      </c>
      <c r="G18">
        <f t="shared" si="1"/>
        <v>227.33726741474197</v>
      </c>
      <c r="H18" s="42">
        <f t="shared" si="2"/>
        <v>371.86903257991946</v>
      </c>
    </row>
    <row r="19" spans="1:8" x14ac:dyDescent="0.2">
      <c r="A19" s="43" t="s">
        <v>122</v>
      </c>
      <c r="B19" s="41" t="s">
        <v>123</v>
      </c>
      <c r="C19" s="41">
        <v>0</v>
      </c>
      <c r="D19" s="44">
        <v>16.364799999999999</v>
      </c>
      <c r="E19" s="44">
        <v>19.538900000000002</v>
      </c>
      <c r="F19">
        <f t="shared" si="0"/>
        <v>1102.5099072547134</v>
      </c>
      <c r="G19">
        <f t="shared" si="1"/>
        <v>55.701097905143683</v>
      </c>
      <c r="H19" s="42">
        <f t="shared" si="2"/>
        <v>202.39371987045479</v>
      </c>
    </row>
    <row r="20" spans="1:8" x14ac:dyDescent="0.2">
      <c r="A20" s="43" t="s">
        <v>138</v>
      </c>
      <c r="B20" s="41" t="s">
        <v>109</v>
      </c>
      <c r="C20" s="41">
        <v>-1</v>
      </c>
      <c r="D20" s="44">
        <v>16.397600000000001</v>
      </c>
      <c r="E20" s="44">
        <v>19.53424</v>
      </c>
      <c r="F20">
        <f t="shared" si="0"/>
        <v>1069.7012437628769</v>
      </c>
      <c r="G20">
        <f t="shared" si="1"/>
        <v>55.940681835691187</v>
      </c>
      <c r="H20" s="42">
        <f t="shared" si="2"/>
        <v>198.00214859629966</v>
      </c>
    </row>
    <row r="21" spans="1:8" x14ac:dyDescent="0.2">
      <c r="A21" s="165" t="s">
        <v>99</v>
      </c>
      <c r="B21" s="41" t="s">
        <v>108</v>
      </c>
      <c r="C21" s="41">
        <v>3</v>
      </c>
      <c r="D21" s="41">
        <v>16.504457500000001</v>
      </c>
      <c r="E21" s="41">
        <v>18.069242500000001</v>
      </c>
      <c r="F21" s="41">
        <f t="shared" si="0"/>
        <v>969.43679814476354</v>
      </c>
      <c r="G21" s="41">
        <f t="shared" si="1"/>
        <v>215.63872508017147</v>
      </c>
      <c r="H21" s="42">
        <f t="shared" si="2"/>
        <v>321.27082788885025</v>
      </c>
    </row>
    <row r="22" spans="1:8" x14ac:dyDescent="0.2">
      <c r="A22" s="40" t="s">
        <v>14</v>
      </c>
      <c r="B22" s="41" t="s">
        <v>85</v>
      </c>
      <c r="C22" s="41">
        <v>3</v>
      </c>
      <c r="D22" s="41">
        <v>16.658292800000002</v>
      </c>
      <c r="E22" s="41">
        <v>20.661161400000001</v>
      </c>
      <c r="F22" s="41">
        <f t="shared" si="0"/>
        <v>841.36681905565206</v>
      </c>
      <c r="G22" s="41">
        <f t="shared" si="1"/>
        <v>19.813408584682787</v>
      </c>
      <c r="H22" s="42">
        <f t="shared" si="2"/>
        <v>134.94028064588747</v>
      </c>
    </row>
    <row r="23" spans="1:8" x14ac:dyDescent="0.2">
      <c r="A23" s="50" t="s">
        <v>147</v>
      </c>
      <c r="B23" s="41" t="s">
        <v>161</v>
      </c>
      <c r="C23" s="41">
        <v>-1</v>
      </c>
      <c r="D23">
        <v>16.96396</v>
      </c>
      <c r="E23">
        <v>19.171676600000001</v>
      </c>
      <c r="F23">
        <f t="shared" si="0"/>
        <v>634.91925906233803</v>
      </c>
      <c r="G23">
        <f t="shared" si="1"/>
        <v>78.118359687038009</v>
      </c>
      <c r="H23" s="42">
        <f t="shared" si="2"/>
        <v>156.14462686447689</v>
      </c>
    </row>
    <row r="24" spans="1:8" x14ac:dyDescent="0.2">
      <c r="A24" s="50" t="s">
        <v>148</v>
      </c>
      <c r="B24" s="41" t="s">
        <v>162</v>
      </c>
      <c r="C24" s="41">
        <v>-1</v>
      </c>
      <c r="D24">
        <v>16.978855100000001</v>
      </c>
      <c r="E24">
        <v>18.7563438</v>
      </c>
      <c r="F24">
        <f t="shared" si="0"/>
        <v>626.26834515951543</v>
      </c>
      <c r="G24">
        <f t="shared" si="1"/>
        <v>114.52129107975759</v>
      </c>
      <c r="H24" s="42">
        <f t="shared" si="2"/>
        <v>186.2340207353551</v>
      </c>
    </row>
    <row r="25" spans="1:8" x14ac:dyDescent="0.2">
      <c r="A25" s="45" t="s">
        <v>124</v>
      </c>
      <c r="B25" s="40" t="s">
        <v>125</v>
      </c>
      <c r="C25" s="41">
        <v>1</v>
      </c>
      <c r="D25" s="46">
        <v>17</v>
      </c>
      <c r="E25" s="42">
        <f>D25-($B$3*C25+$B$4)</f>
        <v>19.0837</v>
      </c>
      <c r="F25">
        <f t="shared" si="0"/>
        <v>614.18966004112349</v>
      </c>
      <c r="G25">
        <f t="shared" si="1"/>
        <v>84.71176987059674</v>
      </c>
      <c r="H25" s="42">
        <f t="shared" si="2"/>
        <v>158.90917754242929</v>
      </c>
    </row>
    <row r="26" spans="1:8" x14ac:dyDescent="0.2">
      <c r="A26" s="40" t="s">
        <v>100</v>
      </c>
      <c r="B26" s="41" t="s">
        <v>109</v>
      </c>
      <c r="C26" s="41">
        <v>-1</v>
      </c>
      <c r="D26" s="41">
        <v>17.1318169</v>
      </c>
      <c r="E26" s="41">
        <v>19.753801299999999</v>
      </c>
      <c r="F26" s="41">
        <f t="shared" si="0"/>
        <v>543.9709917509249</v>
      </c>
      <c r="G26" s="41">
        <f t="shared" si="1"/>
        <v>45.69863578143422</v>
      </c>
      <c r="H26" s="42">
        <f t="shared" si="2"/>
        <v>115.52311346749178</v>
      </c>
    </row>
    <row r="27" spans="1:8" x14ac:dyDescent="0.2">
      <c r="A27" s="50" t="s">
        <v>149</v>
      </c>
      <c r="B27" s="41" t="s">
        <v>163</v>
      </c>
      <c r="C27" s="41">
        <v>-1</v>
      </c>
      <c r="D27" s="40">
        <v>17.273304</v>
      </c>
      <c r="E27" s="40">
        <v>19.281818399999999</v>
      </c>
      <c r="F27">
        <f t="shared" si="0"/>
        <v>477.50827352400211</v>
      </c>
      <c r="G27">
        <f t="shared" si="1"/>
        <v>70.582395770981151</v>
      </c>
      <c r="H27" s="42">
        <f t="shared" si="2"/>
        <v>127.60620319405427</v>
      </c>
    </row>
    <row r="28" spans="1:8" x14ac:dyDescent="0.2">
      <c r="A28" s="40" t="s">
        <v>126</v>
      </c>
      <c r="B28" s="41" t="s">
        <v>110</v>
      </c>
      <c r="C28" s="41">
        <v>2</v>
      </c>
      <c r="D28" s="41">
        <v>17.323852500000001</v>
      </c>
      <c r="E28" s="41">
        <v>20.216999999999999</v>
      </c>
      <c r="F28" s="41">
        <f t="shared" si="0"/>
        <v>455.78654529328247</v>
      </c>
      <c r="G28" s="41">
        <f t="shared" si="1"/>
        <v>29.827973974413201</v>
      </c>
      <c r="H28" s="42">
        <f t="shared" si="2"/>
        <v>89.518892810096077</v>
      </c>
    </row>
    <row r="29" spans="1:8" x14ac:dyDescent="0.2">
      <c r="A29" s="40" t="s">
        <v>150</v>
      </c>
      <c r="B29" s="41" t="s">
        <v>109</v>
      </c>
      <c r="C29" s="41">
        <v>-1</v>
      </c>
      <c r="D29">
        <v>17.517969999999998</v>
      </c>
      <c r="E29">
        <v>20.015889999999999</v>
      </c>
      <c r="F29">
        <f t="shared" si="0"/>
        <v>381.16630378961599</v>
      </c>
      <c r="G29">
        <f t="shared" si="1"/>
        <v>35.89779354200622</v>
      </c>
      <c r="H29" s="42">
        <f t="shared" si="2"/>
        <v>84.281359478701916</v>
      </c>
    </row>
    <row r="30" spans="1:8" x14ac:dyDescent="0.2">
      <c r="A30" s="40" t="s">
        <v>127</v>
      </c>
      <c r="B30" s="40" t="s">
        <v>86</v>
      </c>
      <c r="C30" s="41">
        <v>0</v>
      </c>
      <c r="D30" s="41">
        <v>17.580652199999999</v>
      </c>
      <c r="E30" s="41">
        <v>19.829542199999999</v>
      </c>
      <c r="F30">
        <f t="shared" si="0"/>
        <v>359.78381351427669</v>
      </c>
      <c r="G30">
        <f t="shared" si="1"/>
        <v>42.619355260870044</v>
      </c>
      <c r="H30" s="42">
        <f t="shared" si="2"/>
        <v>87.064611701067804</v>
      </c>
    </row>
    <row r="31" spans="1:8" x14ac:dyDescent="0.2">
      <c r="A31" s="40" t="s">
        <v>128</v>
      </c>
      <c r="B31" s="42" t="s">
        <v>15</v>
      </c>
      <c r="C31" s="47">
        <v>0</v>
      </c>
      <c r="D31" s="42">
        <v>17.595510000000001</v>
      </c>
      <c r="E31" s="42">
        <v>19.647735600000001</v>
      </c>
      <c r="F31" s="42">
        <v>354.89387230718535</v>
      </c>
      <c r="G31" s="42">
        <v>50.38827785198734</v>
      </c>
      <c r="H31" s="42">
        <f t="shared" si="2"/>
        <v>93.059607759397522</v>
      </c>
    </row>
    <row r="32" spans="1:8" x14ac:dyDescent="0.2">
      <c r="A32" s="40" t="s">
        <v>129</v>
      </c>
      <c r="B32" s="41" t="s">
        <v>109</v>
      </c>
      <c r="C32" s="41">
        <v>-1</v>
      </c>
      <c r="D32" s="41">
        <v>17.639223099999999</v>
      </c>
      <c r="E32" s="41">
        <v>20.157682399999999</v>
      </c>
      <c r="F32">
        <f t="shared" ref="F32:F52" si="3">36*10^((D32-20.08)/(-2.5))</f>
        <v>340.88921457799432</v>
      </c>
      <c r="G32">
        <f t="shared" ref="G32:G52" si="4">IF(E32=-999,-999,108*10^((E32-18.82)/(-2.5)))</f>
        <v>31.502918923103199</v>
      </c>
      <c r="H32" s="42">
        <f t="shared" si="2"/>
        <v>74.858196892105525</v>
      </c>
    </row>
    <row r="33" spans="1:8" x14ac:dyDescent="0.2">
      <c r="A33" s="50" t="s">
        <v>151</v>
      </c>
      <c r="B33" s="41" t="s">
        <v>164</v>
      </c>
      <c r="C33" s="41">
        <v>0.5</v>
      </c>
      <c r="D33">
        <v>17.647117600000001</v>
      </c>
      <c r="E33" s="42">
        <f>D33-($B$3*C33+$B$4)</f>
        <v>19.852467600000001</v>
      </c>
      <c r="F33">
        <f t="shared" si="3"/>
        <v>338.41956334191616</v>
      </c>
      <c r="G33">
        <f t="shared" si="4"/>
        <v>41.728878755711975</v>
      </c>
      <c r="H33" s="42">
        <f t="shared" si="2"/>
        <v>83.305080680947839</v>
      </c>
    </row>
    <row r="34" spans="1:8" x14ac:dyDescent="0.2">
      <c r="A34" s="40" t="s">
        <v>130</v>
      </c>
      <c r="B34" s="41" t="s">
        <v>107</v>
      </c>
      <c r="C34" s="41">
        <v>1.5</v>
      </c>
      <c r="D34" s="41">
        <v>17.656776399999998</v>
      </c>
      <c r="E34" s="41">
        <v>20.828558000000001</v>
      </c>
      <c r="F34">
        <f t="shared" si="3"/>
        <v>335.42230632001775</v>
      </c>
      <c r="G34" s="41">
        <f t="shared" si="4"/>
        <v>16.982458246118135</v>
      </c>
      <c r="H34" s="42">
        <f t="shared" si="2"/>
        <v>61.606439086726937</v>
      </c>
    </row>
    <row r="35" spans="1:8" x14ac:dyDescent="0.2">
      <c r="A35" s="40" t="s">
        <v>101</v>
      </c>
      <c r="B35" s="41" t="s">
        <v>112</v>
      </c>
      <c r="C35" s="41">
        <v>0</v>
      </c>
      <c r="D35" s="41">
        <v>17.74907</v>
      </c>
      <c r="E35" s="41">
        <v>19.837144899999998</v>
      </c>
      <c r="F35" s="41">
        <f t="shared" si="3"/>
        <v>308.08779984466298</v>
      </c>
      <c r="G35" s="41">
        <f t="shared" si="4"/>
        <v>42.321962250895133</v>
      </c>
      <c r="H35" s="42">
        <f t="shared" si="2"/>
        <v>79.564567774687561</v>
      </c>
    </row>
    <row r="36" spans="1:8" x14ac:dyDescent="0.2">
      <c r="A36" s="50" t="s">
        <v>152</v>
      </c>
      <c r="B36" s="41" t="s">
        <v>165</v>
      </c>
      <c r="C36" s="41">
        <v>-1</v>
      </c>
      <c r="D36">
        <v>17.758634600000001</v>
      </c>
      <c r="E36">
        <v>20.4362545</v>
      </c>
      <c r="F36">
        <f t="shared" si="3"/>
        <v>305.38567458528405</v>
      </c>
      <c r="G36">
        <f t="shared" si="4"/>
        <v>24.373727730512851</v>
      </c>
      <c r="H36" s="42">
        <f t="shared" si="2"/>
        <v>63.75281865860353</v>
      </c>
    </row>
    <row r="37" spans="1:8" x14ac:dyDescent="0.2">
      <c r="A37" s="50" t="s">
        <v>153</v>
      </c>
      <c r="B37" s="41" t="s">
        <v>109</v>
      </c>
      <c r="C37" s="41">
        <v>-1</v>
      </c>
      <c r="D37">
        <v>17.804500000000001</v>
      </c>
      <c r="E37">
        <v>20.998512300000002</v>
      </c>
      <c r="F37">
        <f t="shared" si="3"/>
        <v>292.75377287549458</v>
      </c>
      <c r="G37">
        <f t="shared" si="4"/>
        <v>14.521745974866027</v>
      </c>
      <c r="H37" s="42">
        <f t="shared" si="2"/>
        <v>53.511277946932807</v>
      </c>
    </row>
    <row r="38" spans="1:8" x14ac:dyDescent="0.2">
      <c r="A38" s="40" t="s">
        <v>131</v>
      </c>
      <c r="B38" s="41" t="s">
        <v>111</v>
      </c>
      <c r="C38" s="41">
        <v>3.5</v>
      </c>
      <c r="D38" s="41">
        <v>17.857562999999999</v>
      </c>
      <c r="E38" s="41">
        <v>19.26362</v>
      </c>
      <c r="F38" s="41">
        <f t="shared" si="3"/>
        <v>278.79006990551818</v>
      </c>
      <c r="G38" s="41">
        <f t="shared" si="4"/>
        <v>71.7754221484509</v>
      </c>
      <c r="H38" s="42">
        <f t="shared" si="2"/>
        <v>100.78503803387537</v>
      </c>
    </row>
    <row r="39" spans="1:8" x14ac:dyDescent="0.2">
      <c r="A39" s="51" t="s">
        <v>154</v>
      </c>
      <c r="B39" s="41" t="s">
        <v>166</v>
      </c>
      <c r="C39" s="41">
        <v>0.3</v>
      </c>
      <c r="D39">
        <v>17.867202800000001</v>
      </c>
      <c r="E39" s="42">
        <f>D39-($B$3*C39+$B$4)</f>
        <v>20.121212800000002</v>
      </c>
      <c r="F39">
        <f t="shared" si="3"/>
        <v>276.32576483402778</v>
      </c>
      <c r="G39">
        <f t="shared" si="4"/>
        <v>32.579066450192116</v>
      </c>
      <c r="H39" s="42">
        <f t="shared" si="2"/>
        <v>66.736060508667293</v>
      </c>
    </row>
    <row r="40" spans="1:8" x14ac:dyDescent="0.2">
      <c r="A40" s="40" t="s">
        <v>132</v>
      </c>
      <c r="B40" s="41" t="s">
        <v>125</v>
      </c>
      <c r="C40" s="41">
        <v>1</v>
      </c>
      <c r="D40" s="46">
        <v>18</v>
      </c>
      <c r="E40" s="42">
        <f>D40-($B$3*C40+$B$4)</f>
        <v>20.0837</v>
      </c>
      <c r="F40">
        <f t="shared" si="3"/>
        <v>244.5133077421861</v>
      </c>
      <c r="G40">
        <f t="shared" si="4"/>
        <v>33.724363015762265</v>
      </c>
      <c r="H40" s="42">
        <f t="shared" si="2"/>
        <v>63.262883046399878</v>
      </c>
    </row>
    <row r="41" spans="1:8" x14ac:dyDescent="0.2">
      <c r="A41" s="40" t="s">
        <v>133</v>
      </c>
      <c r="B41" s="41" t="s">
        <v>106</v>
      </c>
      <c r="C41" s="41">
        <v>4</v>
      </c>
      <c r="D41" s="46">
        <v>18.2566357</v>
      </c>
      <c r="E41" s="46">
        <v>20.3065815</v>
      </c>
      <c r="F41">
        <f t="shared" si="3"/>
        <v>193.04040531692738</v>
      </c>
      <c r="G41">
        <f t="shared" si="4"/>
        <v>27.46573057216181</v>
      </c>
      <c r="H41" s="42">
        <f t="shared" si="2"/>
        <v>50.668232263425637</v>
      </c>
    </row>
    <row r="42" spans="1:8" x14ac:dyDescent="0.2">
      <c r="A42" s="40" t="s">
        <v>134</v>
      </c>
      <c r="B42" s="40" t="s">
        <v>135</v>
      </c>
      <c r="C42" s="41">
        <v>2.5</v>
      </c>
      <c r="D42" s="46">
        <v>18.39</v>
      </c>
      <c r="E42" s="46">
        <v>20.7</v>
      </c>
      <c r="F42">
        <f t="shared" si="3"/>
        <v>170.72711469368775</v>
      </c>
      <c r="G42">
        <f t="shared" si="4"/>
        <v>19.117176749828165</v>
      </c>
      <c r="H42" s="42">
        <f t="shared" si="2"/>
        <v>40.362755803372465</v>
      </c>
    </row>
    <row r="43" spans="1:8" x14ac:dyDescent="0.2">
      <c r="A43" s="41" t="s">
        <v>139</v>
      </c>
      <c r="B43" s="41" t="s">
        <v>86</v>
      </c>
      <c r="C43" s="41">
        <v>0</v>
      </c>
      <c r="D43" s="44">
        <v>18.979700000000001</v>
      </c>
      <c r="E43" s="44">
        <v>21.005800000000001</v>
      </c>
      <c r="F43">
        <f t="shared" si="3"/>
        <v>99.179633880052265</v>
      </c>
      <c r="G43">
        <f t="shared" si="4"/>
        <v>14.424599224591569</v>
      </c>
      <c r="H43" s="42">
        <f t="shared" si="2"/>
        <v>26.301589700145087</v>
      </c>
    </row>
    <row r="44" spans="1:8" x14ac:dyDescent="0.2">
      <c r="A44" s="40" t="s">
        <v>136</v>
      </c>
      <c r="B44" s="46" t="s">
        <v>137</v>
      </c>
      <c r="C44" s="41">
        <v>5</v>
      </c>
      <c r="D44" s="46">
        <v>19.76774</v>
      </c>
      <c r="E44" s="46">
        <v>20.716486</v>
      </c>
      <c r="F44">
        <f t="shared" si="3"/>
        <v>47.996160921704657</v>
      </c>
      <c r="G44">
        <f t="shared" si="4"/>
        <v>18.829091048624758</v>
      </c>
      <c r="H44" s="42">
        <f t="shared" si="2"/>
        <v>22.916364595153293</v>
      </c>
    </row>
    <row r="45" spans="1:8" x14ac:dyDescent="0.2">
      <c r="A45" s="40" t="s">
        <v>158</v>
      </c>
      <c r="B45" s="41" t="s">
        <v>167</v>
      </c>
      <c r="C45" s="41">
        <v>5.5</v>
      </c>
      <c r="D45" s="24">
        <v>20.4647045</v>
      </c>
      <c r="E45" s="42">
        <f>D45-($B$3*C45+$B$4)</f>
        <v>21.453554499999999</v>
      </c>
      <c r="F45">
        <f t="shared" si="3"/>
        <v>25.259264509494955</v>
      </c>
      <c r="G45">
        <f t="shared" si="4"/>
        <v>9.5499688605245545</v>
      </c>
      <c r="H45" s="42">
        <f t="shared" si="2"/>
        <v>11.751362035088661</v>
      </c>
    </row>
    <row r="46" spans="1:8" x14ac:dyDescent="0.2">
      <c r="A46" s="40" t="s">
        <v>102</v>
      </c>
      <c r="B46" s="41" t="s">
        <v>111</v>
      </c>
      <c r="C46" s="41">
        <v>3.5</v>
      </c>
      <c r="D46" s="41">
        <v>20.6849022</v>
      </c>
      <c r="E46" s="42">
        <f>D46-($B$3*C46+$B$4)</f>
        <v>22.160352199999998</v>
      </c>
      <c r="F46">
        <f t="shared" si="3"/>
        <v>20.62251464873691</v>
      </c>
      <c r="G46" s="41">
        <f t="shared" si="4"/>
        <v>4.9806138908598143</v>
      </c>
      <c r="H46" s="42">
        <f t="shared" si="2"/>
        <v>7.1725628066507401</v>
      </c>
    </row>
    <row r="47" spans="1:8" x14ac:dyDescent="0.2">
      <c r="A47" s="40" t="s">
        <v>103</v>
      </c>
      <c r="B47" s="41" t="s">
        <v>86</v>
      </c>
      <c r="C47" s="41">
        <v>0</v>
      </c>
      <c r="D47" s="41">
        <v>21.251337100000001</v>
      </c>
      <c r="E47" s="42">
        <f>D47-($B$3*C47+$B$4)</f>
        <v>23.578337099999999</v>
      </c>
      <c r="F47">
        <f t="shared" si="3"/>
        <v>12.239612282593276</v>
      </c>
      <c r="G47" s="41">
        <f t="shared" si="4"/>
        <v>1.3492390914217995</v>
      </c>
      <c r="H47" s="42">
        <f t="shared" si="2"/>
        <v>2.8753414544562688</v>
      </c>
    </row>
    <row r="48" spans="1:8" x14ac:dyDescent="0.2">
      <c r="A48" s="40" t="s">
        <v>155</v>
      </c>
      <c r="B48" s="41" t="s">
        <v>107</v>
      </c>
      <c r="C48" s="41">
        <v>1.5</v>
      </c>
      <c r="D48">
        <v>21.996318800000001</v>
      </c>
      <c r="E48">
        <v>22.767187100000001</v>
      </c>
      <c r="F48">
        <f t="shared" si="3"/>
        <v>6.1627561075171755</v>
      </c>
      <c r="G48">
        <f t="shared" si="4"/>
        <v>2.8480585648438876</v>
      </c>
      <c r="H48" s="42">
        <f t="shared" si="2"/>
        <v>3.3125575919956014</v>
      </c>
    </row>
    <row r="49" spans="1:8" x14ac:dyDescent="0.2">
      <c r="A49" s="56" t="s">
        <v>207</v>
      </c>
      <c r="B49" s="51" t="s">
        <v>208</v>
      </c>
      <c r="C49" s="41">
        <v>0.7</v>
      </c>
      <c r="D49" s="56">
        <v>17.342517900000001</v>
      </c>
      <c r="E49" s="56">
        <v>19.160224899999999</v>
      </c>
      <c r="F49">
        <f t="shared" si="3"/>
        <v>448.01787392598089</v>
      </c>
      <c r="G49">
        <f t="shared" si="4"/>
        <v>78.94666626613855</v>
      </c>
      <c r="H49" s="42">
        <f t="shared" si="2"/>
        <v>130.66577930757904</v>
      </c>
    </row>
    <row r="50" spans="1:8" x14ac:dyDescent="0.2">
      <c r="A50" s="56" t="s">
        <v>209</v>
      </c>
      <c r="B50" s="51" t="s">
        <v>210</v>
      </c>
      <c r="C50" s="41">
        <v>4.5</v>
      </c>
      <c r="D50" s="56">
        <v>16.7637672</v>
      </c>
      <c r="E50" s="56">
        <v>18.4531174</v>
      </c>
      <c r="F50">
        <f t="shared" si="3"/>
        <v>763.47640658720854</v>
      </c>
      <c r="G50">
        <f t="shared" si="4"/>
        <v>151.41775244489392</v>
      </c>
      <c r="H50" s="42">
        <f t="shared" si="2"/>
        <v>237.18746317983027</v>
      </c>
    </row>
    <row r="51" spans="1:8" x14ac:dyDescent="0.2">
      <c r="A51" s="56" t="s">
        <v>211</v>
      </c>
      <c r="B51" s="51" t="s">
        <v>85</v>
      </c>
      <c r="C51" s="41">
        <v>3</v>
      </c>
      <c r="D51" s="56">
        <v>17.764633199999999</v>
      </c>
      <c r="E51" s="56">
        <v>19.4721546</v>
      </c>
      <c r="F51">
        <f t="shared" si="3"/>
        <v>303.70309708817928</v>
      </c>
      <c r="G51">
        <f t="shared" si="4"/>
        <v>59.232752643187162</v>
      </c>
      <c r="H51" s="42">
        <f t="shared" si="2"/>
        <v>93.491153507888839</v>
      </c>
    </row>
    <row r="52" spans="1:8" x14ac:dyDescent="0.2">
      <c r="A52" s="40" t="s">
        <v>212</v>
      </c>
      <c r="B52" s="41" t="s">
        <v>106</v>
      </c>
      <c r="C52" s="41">
        <v>4</v>
      </c>
      <c r="D52" s="46">
        <v>18.2566357</v>
      </c>
      <c r="E52" s="46">
        <v>20.3065815</v>
      </c>
      <c r="F52">
        <f t="shared" si="3"/>
        <v>193.04040531692738</v>
      </c>
      <c r="G52">
        <f t="shared" si="4"/>
        <v>27.46573057216181</v>
      </c>
      <c r="H52" s="42">
        <f t="shared" si="2"/>
        <v>50.668232263425637</v>
      </c>
    </row>
    <row r="64" spans="1:8" x14ac:dyDescent="0.2">
      <c r="D64">
        <v>0</v>
      </c>
      <c r="E64" s="40" t="s">
        <v>99</v>
      </c>
    </row>
    <row r="65" spans="4:5" x14ac:dyDescent="0.2">
      <c r="D65">
        <v>1</v>
      </c>
      <c r="E65" s="40" t="s">
        <v>14</v>
      </c>
    </row>
    <row r="66" spans="4:5" x14ac:dyDescent="0.2">
      <c r="D66">
        <v>2</v>
      </c>
      <c r="E66" s="40" t="s">
        <v>144</v>
      </c>
    </row>
    <row r="67" spans="4:5" x14ac:dyDescent="0.2">
      <c r="D67">
        <v>3</v>
      </c>
      <c r="E67" s="40" t="s">
        <v>129</v>
      </c>
    </row>
    <row r="68" spans="4:5" x14ac:dyDescent="0.2">
      <c r="D68">
        <v>4</v>
      </c>
      <c r="E68" s="40" t="s">
        <v>130</v>
      </c>
    </row>
    <row r="69" spans="4:5" x14ac:dyDescent="0.2">
      <c r="D69">
        <v>5</v>
      </c>
      <c r="E69" s="40" t="s">
        <v>132</v>
      </c>
    </row>
    <row r="70" spans="4:5" x14ac:dyDescent="0.2">
      <c r="D70">
        <v>6</v>
      </c>
      <c r="E70" s="40" t="s">
        <v>133</v>
      </c>
    </row>
    <row r="71" spans="4:5" x14ac:dyDescent="0.2">
      <c r="D71">
        <v>7</v>
      </c>
      <c r="E71" s="40" t="s">
        <v>136</v>
      </c>
    </row>
    <row r="72" spans="4:5" x14ac:dyDescent="0.2">
      <c r="D72">
        <v>8</v>
      </c>
      <c r="E72" s="40" t="s">
        <v>103</v>
      </c>
    </row>
    <row r="73" spans="4:5" x14ac:dyDescent="0.2">
      <c r="D73">
        <v>9</v>
      </c>
      <c r="E73" s="43" t="s">
        <v>138</v>
      </c>
    </row>
    <row r="74" spans="4:5" x14ac:dyDescent="0.2">
      <c r="D74">
        <v>10</v>
      </c>
      <c r="E74" s="41" t="s">
        <v>139</v>
      </c>
    </row>
    <row r="75" spans="4:5" x14ac:dyDescent="0.2">
      <c r="D75">
        <v>11</v>
      </c>
      <c r="E75" s="40" t="s">
        <v>146</v>
      </c>
    </row>
    <row r="76" spans="4:5" x14ac:dyDescent="0.2">
      <c r="D76">
        <v>12</v>
      </c>
      <c r="E76" s="40" t="s">
        <v>13</v>
      </c>
    </row>
    <row r="77" spans="4:5" x14ac:dyDescent="0.2">
      <c r="D77">
        <v>13</v>
      </c>
      <c r="E77" s="50" t="s">
        <v>149</v>
      </c>
    </row>
    <row r="78" spans="4:5" x14ac:dyDescent="0.2">
      <c r="D78">
        <v>14</v>
      </c>
      <c r="E78" s="50" t="s">
        <v>151</v>
      </c>
    </row>
    <row r="79" spans="4:5" x14ac:dyDescent="0.2">
      <c r="D79">
        <v>15</v>
      </c>
      <c r="E79" s="50" t="s">
        <v>101</v>
      </c>
    </row>
    <row r="80" spans="4:5" x14ac:dyDescent="0.2">
      <c r="D80">
        <v>16</v>
      </c>
      <c r="E80" s="50" t="s">
        <v>152</v>
      </c>
    </row>
    <row r="81" spans="4:5" x14ac:dyDescent="0.2">
      <c r="D81">
        <v>17</v>
      </c>
      <c r="E81" s="51" t="s">
        <v>154</v>
      </c>
    </row>
    <row r="82" spans="4:5" x14ac:dyDescent="0.2">
      <c r="D82">
        <v>18</v>
      </c>
      <c r="E82" s="40" t="s">
        <v>156</v>
      </c>
    </row>
    <row r="83" spans="4:5" x14ac:dyDescent="0.2">
      <c r="D83">
        <v>19</v>
      </c>
      <c r="E83" s="40" t="s">
        <v>157</v>
      </c>
    </row>
    <row r="84" spans="4:5" x14ac:dyDescent="0.2">
      <c r="D84">
        <v>20</v>
      </c>
      <c r="E84" s="40" t="s">
        <v>128</v>
      </c>
    </row>
    <row r="85" spans="4:5" x14ac:dyDescent="0.2">
      <c r="D85">
        <v>21</v>
      </c>
      <c r="E85" s="50" t="s">
        <v>153</v>
      </c>
    </row>
    <row r="86" spans="4:5" x14ac:dyDescent="0.2">
      <c r="D86">
        <v>22</v>
      </c>
      <c r="E86" s="43" t="s">
        <v>122</v>
      </c>
    </row>
    <row r="87" spans="4:5" x14ac:dyDescent="0.2">
      <c r="D87">
        <v>23</v>
      </c>
      <c r="E87" s="45" t="s">
        <v>124</v>
      </c>
    </row>
    <row r="88" spans="4:5" x14ac:dyDescent="0.2">
      <c r="D88">
        <v>24</v>
      </c>
      <c r="E88" s="40" t="s">
        <v>100</v>
      </c>
    </row>
    <row r="89" spans="4:5" x14ac:dyDescent="0.2">
      <c r="D89">
        <v>25</v>
      </c>
      <c r="E89" s="40" t="s">
        <v>126</v>
      </c>
    </row>
    <row r="90" spans="4:5" x14ac:dyDescent="0.2">
      <c r="D90">
        <v>26</v>
      </c>
      <c r="E90" s="40" t="s">
        <v>101</v>
      </c>
    </row>
    <row r="91" spans="4:5" x14ac:dyDescent="0.2">
      <c r="D91">
        <v>27</v>
      </c>
      <c r="E91" s="40" t="s">
        <v>131</v>
      </c>
    </row>
    <row r="92" spans="4:5" x14ac:dyDescent="0.2">
      <c r="D92">
        <v>28</v>
      </c>
      <c r="E92" s="40" t="s">
        <v>134</v>
      </c>
    </row>
    <row r="93" spans="4:5" x14ac:dyDescent="0.2">
      <c r="D93">
        <v>29</v>
      </c>
      <c r="E93" s="40" t="s">
        <v>102</v>
      </c>
    </row>
    <row r="94" spans="4:5" x14ac:dyDescent="0.2">
      <c r="D94">
        <v>30</v>
      </c>
      <c r="E94" s="40" t="s">
        <v>145</v>
      </c>
    </row>
    <row r="95" spans="4:5" x14ac:dyDescent="0.2">
      <c r="D95">
        <v>31</v>
      </c>
      <c r="E95" s="40" t="s">
        <v>159</v>
      </c>
    </row>
    <row r="96" spans="4:5" x14ac:dyDescent="0.2">
      <c r="D96">
        <v>32</v>
      </c>
      <c r="E96" s="50" t="s">
        <v>147</v>
      </c>
    </row>
    <row r="97" spans="4:5" x14ac:dyDescent="0.2">
      <c r="D97">
        <v>33</v>
      </c>
      <c r="E97" s="50" t="s">
        <v>148</v>
      </c>
    </row>
    <row r="98" spans="4:5" x14ac:dyDescent="0.2">
      <c r="D98">
        <v>34</v>
      </c>
      <c r="E98" s="40" t="s">
        <v>150</v>
      </c>
    </row>
    <row r="99" spans="4:5" x14ac:dyDescent="0.2">
      <c r="D99">
        <v>35</v>
      </c>
      <c r="E99" s="40" t="s">
        <v>158</v>
      </c>
    </row>
    <row r="100" spans="4:5" x14ac:dyDescent="0.2">
      <c r="D100">
        <v>36</v>
      </c>
      <c r="E100" s="40" t="s">
        <v>120</v>
      </c>
    </row>
    <row r="101" spans="4:5" x14ac:dyDescent="0.2">
      <c r="D101">
        <v>37</v>
      </c>
      <c r="E101" s="40" t="s">
        <v>121</v>
      </c>
    </row>
    <row r="102" spans="4:5" x14ac:dyDescent="0.2">
      <c r="D102">
        <v>38</v>
      </c>
      <c r="E102" s="40" t="s">
        <v>155</v>
      </c>
    </row>
  </sheetData>
  <sortState ref="A13:H50">
    <sortCondition ref="D13:D50"/>
  </sortState>
  <hyperlinks>
    <hyperlink ref="A19" r:id="rId1" xr:uid="{00000000-0004-0000-0200-000000000000}"/>
    <hyperlink ref="A20" r:id="rId2" xr:uid="{00000000-0004-0000-0200-000001000000}"/>
    <hyperlink ref="E86" r:id="rId3" xr:uid="{00000000-0004-0000-0200-000004000000}"/>
    <hyperlink ref="E73" r:id="rId4" xr:uid="{00000000-0004-0000-0200-000005000000}"/>
  </hyperlinks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2"/>
  <sheetViews>
    <sheetView workbookViewId="0">
      <selection activeCell="B19" sqref="B19"/>
    </sheetView>
  </sheetViews>
  <sheetFormatPr baseColWidth="10" defaultRowHeight="16" x14ac:dyDescent="0.2"/>
  <cols>
    <col min="1" max="1" width="20" customWidth="1"/>
  </cols>
  <sheetData>
    <row r="1" spans="1:4" x14ac:dyDescent="0.2">
      <c r="A1" s="74" t="s">
        <v>225</v>
      </c>
    </row>
    <row r="2" spans="1:4" x14ac:dyDescent="0.2">
      <c r="A2" t="s">
        <v>3</v>
      </c>
      <c r="B2" t="s">
        <v>228</v>
      </c>
      <c r="C2" t="s">
        <v>229</v>
      </c>
      <c r="D2" t="s">
        <v>231</v>
      </c>
    </row>
    <row r="3" spans="1:4" x14ac:dyDescent="0.2">
      <c r="A3" t="s">
        <v>226</v>
      </c>
      <c r="B3" t="s">
        <v>227</v>
      </c>
      <c r="C3" t="s">
        <v>230</v>
      </c>
    </row>
    <row r="4" spans="1:4" x14ac:dyDescent="0.2">
      <c r="A4" t="s">
        <v>232</v>
      </c>
      <c r="B4" t="s">
        <v>242</v>
      </c>
      <c r="C4" t="s">
        <v>230</v>
      </c>
    </row>
    <row r="5" spans="1:4" x14ac:dyDescent="0.2">
      <c r="A5" t="s">
        <v>233</v>
      </c>
      <c r="B5" t="s">
        <v>243</v>
      </c>
      <c r="C5" t="s">
        <v>230</v>
      </c>
    </row>
    <row r="6" spans="1:4" x14ac:dyDescent="0.2">
      <c r="A6" t="s">
        <v>234</v>
      </c>
      <c r="B6" t="s">
        <v>242</v>
      </c>
      <c r="C6" t="s">
        <v>230</v>
      </c>
    </row>
    <row r="7" spans="1:4" x14ac:dyDescent="0.2">
      <c r="A7" t="s">
        <v>235</v>
      </c>
      <c r="B7" t="s">
        <v>244</v>
      </c>
      <c r="C7" t="s">
        <v>230</v>
      </c>
    </row>
    <row r="8" spans="1:4" x14ac:dyDescent="0.2">
      <c r="A8" t="s">
        <v>236</v>
      </c>
      <c r="B8" t="s">
        <v>245</v>
      </c>
      <c r="C8" t="s">
        <v>230</v>
      </c>
    </row>
    <row r="9" spans="1:4" x14ac:dyDescent="0.2">
      <c r="A9" t="s">
        <v>237</v>
      </c>
      <c r="B9" t="s">
        <v>244</v>
      </c>
      <c r="C9" t="s">
        <v>230</v>
      </c>
    </row>
    <row r="10" spans="1:4" x14ac:dyDescent="0.2">
      <c r="A10" t="s">
        <v>238</v>
      </c>
      <c r="B10" t="s">
        <v>246</v>
      </c>
      <c r="C10" t="s">
        <v>230</v>
      </c>
    </row>
    <row r="11" spans="1:4" x14ac:dyDescent="0.2">
      <c r="A11" t="s">
        <v>239</v>
      </c>
      <c r="B11" t="s">
        <v>247</v>
      </c>
      <c r="C11" t="s">
        <v>230</v>
      </c>
    </row>
    <row r="12" spans="1:4" x14ac:dyDescent="0.2">
      <c r="A12" t="s">
        <v>240</v>
      </c>
      <c r="B12" t="s">
        <v>248</v>
      </c>
      <c r="C12" t="s">
        <v>230</v>
      </c>
    </row>
    <row r="13" spans="1:4" x14ac:dyDescent="0.2">
      <c r="A13" t="s">
        <v>241</v>
      </c>
      <c r="B13" t="s">
        <v>249</v>
      </c>
      <c r="C13" t="s">
        <v>254</v>
      </c>
    </row>
    <row r="14" spans="1:4" x14ac:dyDescent="0.2">
      <c r="A14" t="s">
        <v>250</v>
      </c>
      <c r="B14" t="s">
        <v>251</v>
      </c>
      <c r="C14" t="s">
        <v>254</v>
      </c>
    </row>
    <row r="16" spans="1:4" x14ac:dyDescent="0.2">
      <c r="A16" s="74" t="s">
        <v>252</v>
      </c>
    </row>
    <row r="17" spans="1:3" x14ac:dyDescent="0.2">
      <c r="A17" t="s">
        <v>253</v>
      </c>
      <c r="B17" t="s">
        <v>125</v>
      </c>
      <c r="C17" t="s">
        <v>254</v>
      </c>
    </row>
    <row r="19" spans="1:3" x14ac:dyDescent="0.2">
      <c r="A19" s="74" t="s">
        <v>255</v>
      </c>
    </row>
    <row r="20" spans="1:3" x14ac:dyDescent="0.2">
      <c r="A20" t="s">
        <v>256</v>
      </c>
    </row>
    <row r="21" spans="1:3" x14ac:dyDescent="0.2">
      <c r="A21" t="s">
        <v>257</v>
      </c>
    </row>
    <row r="22" spans="1:3" x14ac:dyDescent="0.2">
      <c r="A22" t="s">
        <v>258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904"/>
  <sheetViews>
    <sheetView topLeftCell="A113" workbookViewId="0">
      <selection activeCell="D151" sqref="A151:D151"/>
    </sheetView>
  </sheetViews>
  <sheetFormatPr baseColWidth="10" defaultRowHeight="16" x14ac:dyDescent="0.2"/>
  <sheetData>
    <row r="1" spans="1:4" x14ac:dyDescent="0.2">
      <c r="A1" t="s">
        <v>980</v>
      </c>
    </row>
    <row r="2" spans="1:4" x14ac:dyDescent="0.2">
      <c r="A2" t="s">
        <v>960</v>
      </c>
    </row>
    <row r="3" spans="1:4" x14ac:dyDescent="0.2">
      <c r="A3" t="s">
        <v>961</v>
      </c>
      <c r="B3" t="s">
        <v>962</v>
      </c>
      <c r="C3" t="s">
        <v>963</v>
      </c>
      <c r="D3" t="s">
        <v>964</v>
      </c>
    </row>
    <row r="4" spans="1:4" x14ac:dyDescent="0.2">
      <c r="A4">
        <v>100</v>
      </c>
      <c r="B4">
        <v>6.9999999999999999E-4</v>
      </c>
      <c r="C4">
        <v>0</v>
      </c>
      <c r="D4">
        <v>6.9999999999999999E-4</v>
      </c>
    </row>
    <row r="5" spans="1:4" x14ac:dyDescent="0.2">
      <c r="A5">
        <v>101</v>
      </c>
      <c r="B5">
        <v>1E-3</v>
      </c>
      <c r="C5">
        <v>0</v>
      </c>
      <c r="D5">
        <v>1E-3</v>
      </c>
    </row>
    <row r="6" spans="1:4" x14ac:dyDescent="0.2">
      <c r="A6">
        <v>102</v>
      </c>
      <c r="B6">
        <v>2.5999999999999999E-3</v>
      </c>
      <c r="C6">
        <v>0</v>
      </c>
      <c r="D6">
        <v>2.5999999999999999E-3</v>
      </c>
    </row>
    <row r="7" spans="1:4" x14ac:dyDescent="0.2">
      <c r="A7">
        <v>103</v>
      </c>
      <c r="B7">
        <v>6.1000000000000004E-3</v>
      </c>
      <c r="C7">
        <v>0</v>
      </c>
      <c r="D7">
        <v>6.1000000000000004E-3</v>
      </c>
    </row>
    <row r="8" spans="1:4" x14ac:dyDescent="0.2">
      <c r="A8">
        <v>104</v>
      </c>
      <c r="B8">
        <v>1.17E-2</v>
      </c>
      <c r="C8">
        <v>0</v>
      </c>
      <c r="D8">
        <v>1.17E-2</v>
      </c>
    </row>
    <row r="9" spans="1:4" x14ac:dyDescent="0.2">
      <c r="A9">
        <v>105</v>
      </c>
      <c r="B9">
        <v>2.2200000000000001E-2</v>
      </c>
      <c r="C9">
        <v>0</v>
      </c>
      <c r="D9">
        <v>2.2200000000000001E-2</v>
      </c>
    </row>
    <row r="10" spans="1:4" x14ac:dyDescent="0.2">
      <c r="A10">
        <v>106</v>
      </c>
      <c r="B10">
        <v>4.1099999999999998E-2</v>
      </c>
      <c r="C10">
        <v>0</v>
      </c>
      <c r="D10">
        <v>4.1099999999999998E-2</v>
      </c>
    </row>
    <row r="11" spans="1:4" x14ac:dyDescent="0.2">
      <c r="A11">
        <v>107</v>
      </c>
      <c r="B11">
        <v>6.6900000000000001E-2</v>
      </c>
      <c r="C11">
        <v>0</v>
      </c>
      <c r="D11">
        <v>6.6900000000000001E-2</v>
      </c>
    </row>
    <row r="12" spans="1:4" x14ac:dyDescent="0.2">
      <c r="A12">
        <v>108</v>
      </c>
      <c r="B12">
        <v>8.5400000000000004E-2</v>
      </c>
      <c r="C12">
        <v>0</v>
      </c>
      <c r="D12">
        <v>8.5400000000000004E-2</v>
      </c>
    </row>
    <row r="13" spans="1:4" x14ac:dyDescent="0.2">
      <c r="A13">
        <v>109</v>
      </c>
      <c r="B13">
        <v>0.1077</v>
      </c>
      <c r="C13">
        <v>0</v>
      </c>
      <c r="D13">
        <v>0.1077</v>
      </c>
    </row>
    <row r="14" spans="1:4" x14ac:dyDescent="0.2">
      <c r="A14">
        <v>110</v>
      </c>
      <c r="B14">
        <v>0.1341</v>
      </c>
      <c r="C14">
        <v>0</v>
      </c>
      <c r="D14">
        <v>0.1341</v>
      </c>
    </row>
    <row r="15" spans="1:4" x14ac:dyDescent="0.2">
      <c r="A15">
        <v>111</v>
      </c>
      <c r="B15">
        <v>0.1021</v>
      </c>
      <c r="C15">
        <v>0</v>
      </c>
      <c r="D15">
        <v>0.1021</v>
      </c>
    </row>
    <row r="16" spans="1:4" x14ac:dyDescent="0.2">
      <c r="A16">
        <v>112</v>
      </c>
      <c r="B16">
        <v>7.9399999999999998E-2</v>
      </c>
      <c r="C16">
        <v>0</v>
      </c>
      <c r="D16">
        <v>7.9399999999999998E-2</v>
      </c>
    </row>
    <row r="17" spans="1:4" x14ac:dyDescent="0.2">
      <c r="A17">
        <v>113</v>
      </c>
      <c r="B17">
        <v>6.4100000000000004E-2</v>
      </c>
      <c r="C17">
        <v>0</v>
      </c>
      <c r="D17">
        <v>6.4100000000000004E-2</v>
      </c>
    </row>
    <row r="18" spans="1:4" x14ac:dyDescent="0.2">
      <c r="A18">
        <v>114</v>
      </c>
      <c r="B18">
        <v>5.2999999999999999E-2</v>
      </c>
      <c r="C18">
        <v>0</v>
      </c>
      <c r="D18">
        <v>5.2999999999999999E-2</v>
      </c>
    </row>
    <row r="19" spans="1:4" x14ac:dyDescent="0.2">
      <c r="A19">
        <v>115</v>
      </c>
      <c r="B19">
        <v>4.5699999999999998E-2</v>
      </c>
      <c r="C19">
        <v>0</v>
      </c>
      <c r="D19">
        <v>4.5699999999999998E-2</v>
      </c>
    </row>
    <row r="20" spans="1:4" x14ac:dyDescent="0.2">
      <c r="A20">
        <v>116</v>
      </c>
      <c r="B20">
        <v>4.1599999999999998E-2</v>
      </c>
      <c r="C20">
        <v>0</v>
      </c>
      <c r="D20">
        <v>4.1599999999999998E-2</v>
      </c>
    </row>
    <row r="21" spans="1:4" x14ac:dyDescent="0.2">
      <c r="A21">
        <v>117</v>
      </c>
      <c r="B21">
        <v>4.0300000000000002E-2</v>
      </c>
      <c r="C21">
        <v>0</v>
      </c>
      <c r="D21">
        <v>4.0300000000000002E-2</v>
      </c>
    </row>
    <row r="22" spans="1:4" x14ac:dyDescent="0.2">
      <c r="A22">
        <v>118</v>
      </c>
      <c r="B22">
        <v>0.04</v>
      </c>
      <c r="C22">
        <v>0</v>
      </c>
      <c r="D22">
        <v>0.04</v>
      </c>
    </row>
    <row r="23" spans="1:4" x14ac:dyDescent="0.2">
      <c r="A23">
        <v>119</v>
      </c>
      <c r="B23">
        <v>4.0399999999999998E-2</v>
      </c>
      <c r="C23">
        <v>0</v>
      </c>
      <c r="D23">
        <v>4.0399999999999998E-2</v>
      </c>
    </row>
    <row r="24" spans="1:4" x14ac:dyDescent="0.2">
      <c r="A24">
        <v>120</v>
      </c>
      <c r="B24">
        <v>4.1500000000000002E-2</v>
      </c>
      <c r="C24">
        <v>0</v>
      </c>
      <c r="D24">
        <v>4.1500000000000002E-2</v>
      </c>
    </row>
    <row r="25" spans="1:4" x14ac:dyDescent="0.2">
      <c r="A25">
        <v>121</v>
      </c>
      <c r="B25">
        <v>4.3299999999999998E-2</v>
      </c>
      <c r="C25">
        <v>0</v>
      </c>
      <c r="D25">
        <v>4.3299999999999998E-2</v>
      </c>
    </row>
    <row r="26" spans="1:4" x14ac:dyDescent="0.2">
      <c r="A26" s="25">
        <v>122</v>
      </c>
      <c r="B26" s="25">
        <v>4.6199999999999998E-2</v>
      </c>
      <c r="C26" s="25">
        <v>0</v>
      </c>
      <c r="D26" s="25">
        <v>4.6199999999999998E-2</v>
      </c>
    </row>
    <row r="27" spans="1:4" x14ac:dyDescent="0.2">
      <c r="A27">
        <v>123</v>
      </c>
      <c r="B27">
        <v>5.0900000000000001E-2</v>
      </c>
      <c r="C27">
        <v>0</v>
      </c>
      <c r="D27">
        <v>5.0900000000000001E-2</v>
      </c>
    </row>
    <row r="28" spans="1:4" x14ac:dyDescent="0.2">
      <c r="A28">
        <v>124</v>
      </c>
      <c r="B28">
        <v>5.7599999999999998E-2</v>
      </c>
      <c r="C28">
        <v>0</v>
      </c>
      <c r="D28">
        <v>5.7599999999999998E-2</v>
      </c>
    </row>
    <row r="29" spans="1:4" x14ac:dyDescent="0.2">
      <c r="A29">
        <v>125</v>
      </c>
      <c r="B29">
        <v>6.7400000000000002E-2</v>
      </c>
      <c r="C29">
        <v>0</v>
      </c>
      <c r="D29">
        <v>6.7400000000000002E-2</v>
      </c>
    </row>
    <row r="30" spans="1:4" x14ac:dyDescent="0.2">
      <c r="A30">
        <v>126</v>
      </c>
      <c r="B30">
        <v>8.09E-2</v>
      </c>
      <c r="C30">
        <v>0</v>
      </c>
      <c r="D30">
        <v>8.09E-2</v>
      </c>
    </row>
    <row r="31" spans="1:4" x14ac:dyDescent="0.2">
      <c r="A31">
        <v>127</v>
      </c>
      <c r="B31">
        <v>9.9699999999999997E-2</v>
      </c>
      <c r="C31">
        <v>0</v>
      </c>
      <c r="D31">
        <v>9.9699999999999997E-2</v>
      </c>
    </row>
    <row r="32" spans="1:4" x14ac:dyDescent="0.2">
      <c r="A32">
        <v>128</v>
      </c>
      <c r="B32">
        <v>0.1268</v>
      </c>
      <c r="C32">
        <v>0</v>
      </c>
      <c r="D32">
        <v>0.1268</v>
      </c>
    </row>
    <row r="33" spans="1:4" x14ac:dyDescent="0.2">
      <c r="A33">
        <v>129</v>
      </c>
      <c r="B33">
        <v>0.16589999999999999</v>
      </c>
      <c r="C33">
        <v>0</v>
      </c>
      <c r="D33">
        <v>0.16589999999999999</v>
      </c>
    </row>
    <row r="34" spans="1:4" x14ac:dyDescent="0.2">
      <c r="A34" s="25">
        <v>130</v>
      </c>
      <c r="B34" s="25">
        <v>0.22409999999999999</v>
      </c>
      <c r="C34" s="25">
        <v>0</v>
      </c>
      <c r="D34" s="25">
        <v>0.22409999999999999</v>
      </c>
    </row>
    <row r="35" spans="1:4" x14ac:dyDescent="0.2">
      <c r="A35">
        <v>131</v>
      </c>
      <c r="B35">
        <v>0.31290000000000001</v>
      </c>
      <c r="C35">
        <v>0</v>
      </c>
      <c r="D35">
        <v>0.31290000000000001</v>
      </c>
    </row>
    <row r="36" spans="1:4" x14ac:dyDescent="0.2">
      <c r="A36">
        <v>132</v>
      </c>
      <c r="B36">
        <v>0.45279999999999998</v>
      </c>
      <c r="C36">
        <v>0</v>
      </c>
      <c r="D36">
        <v>0.45279999999999998</v>
      </c>
    </row>
    <row r="37" spans="1:4" x14ac:dyDescent="0.2">
      <c r="A37">
        <v>133</v>
      </c>
      <c r="B37">
        <v>0.68049999999999999</v>
      </c>
      <c r="C37">
        <v>0</v>
      </c>
      <c r="D37">
        <v>0.68049999999999999</v>
      </c>
    </row>
    <row r="38" spans="1:4" x14ac:dyDescent="0.2">
      <c r="A38">
        <v>134</v>
      </c>
      <c r="B38">
        <v>0.93669999999999998</v>
      </c>
      <c r="C38">
        <v>0</v>
      </c>
      <c r="D38">
        <v>0.93669999999999998</v>
      </c>
    </row>
    <row r="39" spans="1:4" x14ac:dyDescent="0.2">
      <c r="A39">
        <v>135</v>
      </c>
      <c r="B39">
        <v>1.0814999999999999</v>
      </c>
      <c r="C39">
        <v>0</v>
      </c>
      <c r="D39">
        <v>1.0814999999999999</v>
      </c>
    </row>
    <row r="40" spans="1:4" x14ac:dyDescent="0.2">
      <c r="A40" s="25">
        <v>136</v>
      </c>
      <c r="B40" s="25">
        <v>1.2551000000000001</v>
      </c>
      <c r="C40" s="25">
        <v>0</v>
      </c>
      <c r="D40" s="25">
        <v>1.2551000000000001</v>
      </c>
    </row>
    <row r="41" spans="1:4" x14ac:dyDescent="0.2">
      <c r="A41">
        <v>137</v>
      </c>
      <c r="B41">
        <v>1.4637</v>
      </c>
      <c r="C41">
        <v>0</v>
      </c>
      <c r="D41">
        <v>1.4637</v>
      </c>
    </row>
    <row r="42" spans="1:4" x14ac:dyDescent="0.2">
      <c r="A42">
        <v>138</v>
      </c>
      <c r="B42">
        <v>1.716</v>
      </c>
      <c r="C42">
        <v>0</v>
      </c>
      <c r="D42">
        <v>1.716</v>
      </c>
    </row>
    <row r="43" spans="1:4" x14ac:dyDescent="0.2">
      <c r="A43">
        <v>139</v>
      </c>
      <c r="B43">
        <v>2.0246</v>
      </c>
      <c r="C43">
        <v>0</v>
      </c>
      <c r="D43">
        <v>2.0246</v>
      </c>
    </row>
    <row r="44" spans="1:4" x14ac:dyDescent="0.2">
      <c r="A44">
        <v>140</v>
      </c>
      <c r="B44">
        <v>2.3988999999999998</v>
      </c>
      <c r="C44">
        <v>0</v>
      </c>
      <c r="D44">
        <v>2.3988999999999998</v>
      </c>
    </row>
    <row r="45" spans="1:4" x14ac:dyDescent="0.2">
      <c r="A45">
        <v>141</v>
      </c>
      <c r="B45">
        <v>2.8546999999999998</v>
      </c>
      <c r="C45">
        <v>0</v>
      </c>
      <c r="D45">
        <v>2.8546999999999998</v>
      </c>
    </row>
    <row r="46" spans="1:4" x14ac:dyDescent="0.2">
      <c r="A46">
        <v>142</v>
      </c>
      <c r="B46">
        <v>3.4106000000000001</v>
      </c>
      <c r="C46">
        <v>0</v>
      </c>
      <c r="D46">
        <v>3.4106000000000001</v>
      </c>
    </row>
    <row r="47" spans="1:4" x14ac:dyDescent="0.2">
      <c r="A47">
        <v>143</v>
      </c>
      <c r="B47">
        <v>4.0902000000000003</v>
      </c>
      <c r="C47">
        <v>0</v>
      </c>
      <c r="D47">
        <v>4.0902000000000003</v>
      </c>
    </row>
    <row r="48" spans="1:4" x14ac:dyDescent="0.2">
      <c r="A48">
        <v>144</v>
      </c>
      <c r="B48">
        <v>4.9688999999999997</v>
      </c>
      <c r="C48">
        <v>0</v>
      </c>
      <c r="D48">
        <v>4.9688999999999997</v>
      </c>
    </row>
    <row r="49" spans="1:4" x14ac:dyDescent="0.2">
      <c r="A49">
        <v>145</v>
      </c>
      <c r="B49">
        <v>6.1433</v>
      </c>
      <c r="C49">
        <v>0</v>
      </c>
      <c r="D49">
        <v>6.1433</v>
      </c>
    </row>
    <row r="50" spans="1:4" x14ac:dyDescent="0.2">
      <c r="A50">
        <v>146</v>
      </c>
      <c r="B50">
        <v>7.5922999999999998</v>
      </c>
      <c r="C50">
        <v>0</v>
      </c>
      <c r="D50">
        <v>7.5922999999999998</v>
      </c>
    </row>
    <row r="51" spans="1:4" x14ac:dyDescent="0.2">
      <c r="A51">
        <v>147</v>
      </c>
      <c r="B51">
        <v>9.3787000000000003</v>
      </c>
      <c r="C51">
        <v>0</v>
      </c>
      <c r="D51">
        <v>9.3787000000000003</v>
      </c>
    </row>
    <row r="52" spans="1:4" x14ac:dyDescent="0.2">
      <c r="A52">
        <v>148</v>
      </c>
      <c r="B52">
        <v>11.528</v>
      </c>
      <c r="C52">
        <v>0</v>
      </c>
      <c r="D52">
        <v>11.528</v>
      </c>
    </row>
    <row r="53" spans="1:4" x14ac:dyDescent="0.2">
      <c r="A53">
        <v>149</v>
      </c>
      <c r="B53">
        <v>14.051</v>
      </c>
      <c r="C53">
        <v>0</v>
      </c>
      <c r="D53">
        <v>14.051</v>
      </c>
    </row>
    <row r="54" spans="1:4" x14ac:dyDescent="0.2">
      <c r="A54">
        <v>150</v>
      </c>
      <c r="B54">
        <v>16.915700000000001</v>
      </c>
      <c r="C54">
        <v>0</v>
      </c>
      <c r="D54">
        <v>16.915700000000001</v>
      </c>
    </row>
    <row r="55" spans="1:4" x14ac:dyDescent="0.2">
      <c r="A55">
        <v>151</v>
      </c>
      <c r="B55">
        <v>20.057500000000001</v>
      </c>
      <c r="C55">
        <v>0</v>
      </c>
      <c r="D55">
        <v>20.057500000000001</v>
      </c>
    </row>
    <row r="56" spans="1:4" x14ac:dyDescent="0.2">
      <c r="A56">
        <v>152</v>
      </c>
      <c r="B56">
        <v>23.316500000000001</v>
      </c>
      <c r="C56">
        <v>0</v>
      </c>
      <c r="D56">
        <v>23.316500000000001</v>
      </c>
    </row>
    <row r="57" spans="1:4" x14ac:dyDescent="0.2">
      <c r="A57">
        <v>153</v>
      </c>
      <c r="B57">
        <v>26.507000000000001</v>
      </c>
      <c r="C57">
        <v>0</v>
      </c>
      <c r="D57">
        <v>26.507000000000001</v>
      </c>
    </row>
    <row r="58" spans="1:4" x14ac:dyDescent="0.2">
      <c r="A58">
        <v>154</v>
      </c>
      <c r="B58">
        <v>29.447199999999999</v>
      </c>
      <c r="C58">
        <v>0</v>
      </c>
      <c r="D58">
        <v>29.447199999999999</v>
      </c>
    </row>
    <row r="59" spans="1:4" x14ac:dyDescent="0.2">
      <c r="A59">
        <v>155</v>
      </c>
      <c r="B59">
        <v>32.875999999999998</v>
      </c>
      <c r="C59">
        <v>0</v>
      </c>
      <c r="D59">
        <v>32.875999999999998</v>
      </c>
    </row>
    <row r="60" spans="1:4" x14ac:dyDescent="0.2">
      <c r="A60">
        <v>156</v>
      </c>
      <c r="B60">
        <v>35.709499999999998</v>
      </c>
      <c r="C60">
        <v>0</v>
      </c>
      <c r="D60">
        <v>35.709499999999998</v>
      </c>
    </row>
    <row r="61" spans="1:4" x14ac:dyDescent="0.2">
      <c r="A61">
        <v>157</v>
      </c>
      <c r="B61">
        <v>37.0383</v>
      </c>
      <c r="C61">
        <v>0</v>
      </c>
      <c r="D61">
        <v>37.0383</v>
      </c>
    </row>
    <row r="62" spans="1:4" x14ac:dyDescent="0.2">
      <c r="A62">
        <v>158</v>
      </c>
      <c r="B62">
        <v>37.4298</v>
      </c>
      <c r="C62">
        <v>0</v>
      </c>
      <c r="D62">
        <v>37.4298</v>
      </c>
    </row>
    <row r="63" spans="1:4" x14ac:dyDescent="0.2">
      <c r="A63">
        <v>159</v>
      </c>
      <c r="B63">
        <v>37.185600000000001</v>
      </c>
      <c r="C63">
        <v>0</v>
      </c>
      <c r="D63">
        <v>37.185600000000001</v>
      </c>
    </row>
    <row r="64" spans="1:4" x14ac:dyDescent="0.2">
      <c r="A64">
        <v>160</v>
      </c>
      <c r="B64">
        <v>36.336599999999997</v>
      </c>
      <c r="C64">
        <v>0</v>
      </c>
      <c r="D64">
        <v>36.336599999999997</v>
      </c>
    </row>
    <row r="65" spans="1:4" x14ac:dyDescent="0.2">
      <c r="A65">
        <v>161</v>
      </c>
      <c r="B65">
        <v>34.876100000000001</v>
      </c>
      <c r="C65">
        <v>0</v>
      </c>
      <c r="D65">
        <v>34.876100000000001</v>
      </c>
    </row>
    <row r="66" spans="1:4" x14ac:dyDescent="0.2">
      <c r="A66">
        <v>162</v>
      </c>
      <c r="B66">
        <v>33.486699999999999</v>
      </c>
      <c r="C66">
        <v>0</v>
      </c>
      <c r="D66">
        <v>33.486699999999999</v>
      </c>
    </row>
    <row r="67" spans="1:4" x14ac:dyDescent="0.2">
      <c r="A67">
        <v>163</v>
      </c>
      <c r="B67">
        <v>31.791899999999998</v>
      </c>
      <c r="C67">
        <v>0</v>
      </c>
      <c r="D67">
        <v>31.791899999999998</v>
      </c>
    </row>
    <row r="68" spans="1:4" x14ac:dyDescent="0.2">
      <c r="A68">
        <v>164</v>
      </c>
      <c r="B68">
        <v>29.840399999999999</v>
      </c>
      <c r="C68">
        <v>0</v>
      </c>
      <c r="D68">
        <v>29.840399999999999</v>
      </c>
    </row>
    <row r="69" spans="1:4" x14ac:dyDescent="0.2">
      <c r="A69">
        <v>165</v>
      </c>
      <c r="B69">
        <v>27.697099999999999</v>
      </c>
      <c r="C69">
        <v>0</v>
      </c>
      <c r="D69">
        <v>27.697099999999999</v>
      </c>
    </row>
    <row r="70" spans="1:4" x14ac:dyDescent="0.2">
      <c r="A70">
        <v>166</v>
      </c>
      <c r="B70">
        <v>25.428599999999999</v>
      </c>
      <c r="C70">
        <v>0</v>
      </c>
      <c r="D70">
        <v>25.428599999999999</v>
      </c>
    </row>
    <row r="71" spans="1:4" x14ac:dyDescent="0.2">
      <c r="A71">
        <v>167</v>
      </c>
      <c r="B71">
        <v>23.136199999999999</v>
      </c>
      <c r="C71">
        <v>0</v>
      </c>
      <c r="D71">
        <v>23.136199999999999</v>
      </c>
    </row>
    <row r="72" spans="1:4" x14ac:dyDescent="0.2">
      <c r="A72">
        <v>168</v>
      </c>
      <c r="B72">
        <v>20.890699999999999</v>
      </c>
      <c r="C72">
        <v>0</v>
      </c>
      <c r="D72">
        <v>20.890699999999999</v>
      </c>
    </row>
    <row r="73" spans="1:4" x14ac:dyDescent="0.2">
      <c r="A73">
        <v>169</v>
      </c>
      <c r="B73">
        <v>18.742599999999999</v>
      </c>
      <c r="C73">
        <v>0</v>
      </c>
      <c r="D73">
        <v>18.742599999999999</v>
      </c>
    </row>
    <row r="74" spans="1:4" x14ac:dyDescent="0.2">
      <c r="A74">
        <v>170</v>
      </c>
      <c r="B74">
        <v>16.728999999999999</v>
      </c>
      <c r="C74">
        <v>0</v>
      </c>
      <c r="D74">
        <v>16.728999999999999</v>
      </c>
    </row>
    <row r="75" spans="1:4" x14ac:dyDescent="0.2">
      <c r="A75">
        <v>171</v>
      </c>
      <c r="B75">
        <v>14.871600000000001</v>
      </c>
      <c r="C75">
        <v>0</v>
      </c>
      <c r="D75">
        <v>14.871600000000001</v>
      </c>
    </row>
    <row r="76" spans="1:4" x14ac:dyDescent="0.2">
      <c r="A76">
        <v>172</v>
      </c>
      <c r="B76">
        <v>13.1739</v>
      </c>
      <c r="C76">
        <v>0</v>
      </c>
      <c r="D76">
        <v>13.1739</v>
      </c>
    </row>
    <row r="77" spans="1:4" x14ac:dyDescent="0.2">
      <c r="A77">
        <v>173</v>
      </c>
      <c r="B77">
        <v>11.6325</v>
      </c>
      <c r="C77">
        <v>0</v>
      </c>
      <c r="D77">
        <v>11.6325</v>
      </c>
    </row>
    <row r="78" spans="1:4" x14ac:dyDescent="0.2">
      <c r="A78">
        <v>174</v>
      </c>
      <c r="B78">
        <v>10.2437</v>
      </c>
      <c r="C78">
        <v>0</v>
      </c>
      <c r="D78">
        <v>10.2437</v>
      </c>
    </row>
    <row r="79" spans="1:4" x14ac:dyDescent="0.2">
      <c r="A79">
        <v>175</v>
      </c>
      <c r="B79">
        <v>8.9989000000000008</v>
      </c>
      <c r="C79">
        <v>0</v>
      </c>
      <c r="D79">
        <v>8.9989000000000008</v>
      </c>
    </row>
    <row r="80" spans="1:4" x14ac:dyDescent="0.2">
      <c r="A80">
        <v>176</v>
      </c>
      <c r="B80">
        <v>7.9051</v>
      </c>
      <c r="C80">
        <v>0</v>
      </c>
      <c r="D80">
        <v>7.9051</v>
      </c>
    </row>
    <row r="81" spans="1:4" x14ac:dyDescent="0.2">
      <c r="A81">
        <v>177</v>
      </c>
      <c r="B81">
        <v>6.9318999999999997</v>
      </c>
      <c r="C81">
        <v>0</v>
      </c>
      <c r="D81">
        <v>6.9318999999999997</v>
      </c>
    </row>
    <row r="82" spans="1:4" x14ac:dyDescent="0.2">
      <c r="A82">
        <v>178</v>
      </c>
      <c r="B82">
        <v>6.0822000000000003</v>
      </c>
      <c r="C82">
        <v>0</v>
      </c>
      <c r="D82">
        <v>6.0822000000000003</v>
      </c>
    </row>
    <row r="83" spans="1:4" x14ac:dyDescent="0.2">
      <c r="A83">
        <v>179</v>
      </c>
      <c r="B83">
        <v>5.3318000000000003</v>
      </c>
      <c r="C83">
        <v>0</v>
      </c>
      <c r="D83">
        <v>5.3318000000000003</v>
      </c>
    </row>
    <row r="84" spans="1:4" x14ac:dyDescent="0.2">
      <c r="A84">
        <v>180</v>
      </c>
      <c r="B84">
        <v>4.6696999999999997</v>
      </c>
      <c r="C84">
        <v>0</v>
      </c>
      <c r="D84">
        <v>4.6696999999999997</v>
      </c>
    </row>
    <row r="85" spans="1:4" x14ac:dyDescent="0.2">
      <c r="A85">
        <v>181</v>
      </c>
      <c r="B85">
        <v>4.08</v>
      </c>
      <c r="C85">
        <v>0</v>
      </c>
      <c r="D85">
        <v>4.08</v>
      </c>
    </row>
    <row r="86" spans="1:4" x14ac:dyDescent="0.2">
      <c r="A86">
        <v>182</v>
      </c>
      <c r="B86">
        <v>3.5615999999999999</v>
      </c>
      <c r="C86">
        <v>0</v>
      </c>
      <c r="D86">
        <v>3.5615999999999999</v>
      </c>
    </row>
    <row r="87" spans="1:4" x14ac:dyDescent="0.2">
      <c r="A87">
        <v>183</v>
      </c>
      <c r="B87">
        <v>3.1073</v>
      </c>
      <c r="C87">
        <v>0</v>
      </c>
      <c r="D87">
        <v>3.1073</v>
      </c>
    </row>
    <row r="88" spans="1:4" x14ac:dyDescent="0.2">
      <c r="A88">
        <v>184</v>
      </c>
      <c r="B88">
        <v>2.7105999999999999</v>
      </c>
      <c r="C88">
        <v>0</v>
      </c>
      <c r="D88">
        <v>2.7105999999999999</v>
      </c>
    </row>
    <row r="89" spans="1:4" x14ac:dyDescent="0.2">
      <c r="A89">
        <v>185</v>
      </c>
      <c r="B89">
        <v>2.3656000000000001</v>
      </c>
      <c r="C89">
        <v>0</v>
      </c>
      <c r="D89">
        <v>2.3656000000000001</v>
      </c>
    </row>
    <row r="90" spans="1:4" x14ac:dyDescent="0.2">
      <c r="A90">
        <v>186</v>
      </c>
      <c r="B90">
        <v>2.0678000000000001</v>
      </c>
      <c r="C90">
        <v>0</v>
      </c>
      <c r="D90">
        <v>2.0678000000000001</v>
      </c>
    </row>
    <row r="91" spans="1:4" x14ac:dyDescent="0.2">
      <c r="A91">
        <v>187</v>
      </c>
      <c r="B91">
        <v>1.8087</v>
      </c>
      <c r="C91">
        <v>0</v>
      </c>
      <c r="D91">
        <v>1.8087</v>
      </c>
    </row>
    <row r="92" spans="1:4" x14ac:dyDescent="0.2">
      <c r="A92">
        <v>188</v>
      </c>
      <c r="B92">
        <v>1.5834999999999999</v>
      </c>
      <c r="C92">
        <v>0</v>
      </c>
      <c r="D92">
        <v>1.5834999999999999</v>
      </c>
    </row>
    <row r="93" spans="1:4" x14ac:dyDescent="0.2">
      <c r="A93">
        <v>189</v>
      </c>
      <c r="B93">
        <v>1.3879999999999999</v>
      </c>
      <c r="C93">
        <v>0</v>
      </c>
      <c r="D93">
        <v>1.3879999999999999</v>
      </c>
    </row>
    <row r="94" spans="1:4" x14ac:dyDescent="0.2">
      <c r="A94">
        <v>190</v>
      </c>
      <c r="B94">
        <v>1.2181</v>
      </c>
      <c r="C94">
        <v>0</v>
      </c>
      <c r="D94">
        <v>1.2181</v>
      </c>
    </row>
    <row r="95" spans="1:4" x14ac:dyDescent="0.2">
      <c r="A95">
        <v>191</v>
      </c>
      <c r="B95">
        <v>1.0706</v>
      </c>
      <c r="C95">
        <v>0</v>
      </c>
      <c r="D95">
        <v>1.0706</v>
      </c>
    </row>
    <row r="96" spans="1:4" x14ac:dyDescent="0.2">
      <c r="A96">
        <v>192</v>
      </c>
      <c r="B96">
        <v>0.94230000000000003</v>
      </c>
      <c r="C96">
        <v>0</v>
      </c>
      <c r="D96">
        <v>0.94230000000000003</v>
      </c>
    </row>
    <row r="97" spans="1:4" x14ac:dyDescent="0.2">
      <c r="A97">
        <v>193</v>
      </c>
      <c r="B97">
        <v>0.83069999999999999</v>
      </c>
      <c r="C97">
        <v>0</v>
      </c>
      <c r="D97">
        <v>0.83069999999999999</v>
      </c>
    </row>
    <row r="98" spans="1:4" x14ac:dyDescent="0.2">
      <c r="A98">
        <v>194</v>
      </c>
      <c r="B98">
        <v>0.73370000000000002</v>
      </c>
      <c r="C98">
        <v>0</v>
      </c>
      <c r="D98">
        <v>0.73370000000000002</v>
      </c>
    </row>
    <row r="99" spans="1:4" x14ac:dyDescent="0.2">
      <c r="A99">
        <v>195</v>
      </c>
      <c r="B99">
        <v>0.6492</v>
      </c>
      <c r="C99">
        <v>0</v>
      </c>
      <c r="D99">
        <v>0.6492</v>
      </c>
    </row>
    <row r="100" spans="1:4" x14ac:dyDescent="0.2">
      <c r="A100">
        <v>196</v>
      </c>
      <c r="B100">
        <v>0.57489999999999997</v>
      </c>
      <c r="C100">
        <v>0</v>
      </c>
      <c r="D100">
        <v>0.57489999999999997</v>
      </c>
    </row>
    <row r="101" spans="1:4" x14ac:dyDescent="0.2">
      <c r="A101">
        <v>197</v>
      </c>
      <c r="B101">
        <v>0.5101</v>
      </c>
      <c r="C101">
        <v>0</v>
      </c>
      <c r="D101">
        <v>0.5101</v>
      </c>
    </row>
    <row r="102" spans="1:4" x14ac:dyDescent="0.2">
      <c r="A102">
        <v>198</v>
      </c>
      <c r="B102">
        <v>0.45350000000000001</v>
      </c>
      <c r="C102">
        <v>0</v>
      </c>
      <c r="D102">
        <v>0.45350000000000001</v>
      </c>
    </row>
    <row r="103" spans="1:4" x14ac:dyDescent="0.2">
      <c r="A103">
        <v>199</v>
      </c>
      <c r="B103">
        <v>0.40410000000000001</v>
      </c>
      <c r="C103">
        <v>0</v>
      </c>
      <c r="D103">
        <v>0.40410000000000001</v>
      </c>
    </row>
    <row r="104" spans="1:4" x14ac:dyDescent="0.2">
      <c r="A104">
        <v>200</v>
      </c>
      <c r="B104">
        <v>0.36080000000000001</v>
      </c>
      <c r="C104">
        <v>0</v>
      </c>
      <c r="D104">
        <v>0.36080000000000001</v>
      </c>
    </row>
    <row r="105" spans="1:4" x14ac:dyDescent="0.2">
      <c r="A105">
        <v>201</v>
      </c>
      <c r="B105">
        <v>0.32650000000000001</v>
      </c>
      <c r="C105">
        <v>0</v>
      </c>
      <c r="D105">
        <v>0.32650000000000001</v>
      </c>
    </row>
    <row r="106" spans="1:4" x14ac:dyDescent="0.2">
      <c r="A106">
        <v>202</v>
      </c>
      <c r="B106">
        <v>0.2959</v>
      </c>
      <c r="C106">
        <v>0</v>
      </c>
      <c r="D106">
        <v>0.2959</v>
      </c>
    </row>
    <row r="107" spans="1:4" x14ac:dyDescent="0.2">
      <c r="A107">
        <v>203</v>
      </c>
      <c r="B107">
        <v>0.26860000000000001</v>
      </c>
      <c r="C107">
        <v>0</v>
      </c>
      <c r="D107">
        <v>0.26860000000000001</v>
      </c>
    </row>
    <row r="108" spans="1:4" x14ac:dyDescent="0.2">
      <c r="A108">
        <v>204</v>
      </c>
      <c r="B108">
        <v>0.2442</v>
      </c>
      <c r="C108">
        <v>0</v>
      </c>
      <c r="D108">
        <v>0.2442</v>
      </c>
    </row>
    <row r="109" spans="1:4" x14ac:dyDescent="0.2">
      <c r="A109">
        <v>205</v>
      </c>
      <c r="B109">
        <v>0.22239999999999999</v>
      </c>
      <c r="C109">
        <v>0</v>
      </c>
      <c r="D109">
        <v>0.22239999999999999</v>
      </c>
    </row>
    <row r="110" spans="1:4" x14ac:dyDescent="0.2">
      <c r="A110">
        <v>206</v>
      </c>
      <c r="B110">
        <v>0.20300000000000001</v>
      </c>
      <c r="C110">
        <v>0</v>
      </c>
      <c r="D110">
        <v>0.20300000000000001</v>
      </c>
    </row>
    <row r="111" spans="1:4" x14ac:dyDescent="0.2">
      <c r="A111">
        <v>207</v>
      </c>
      <c r="B111">
        <v>0.1855</v>
      </c>
      <c r="C111">
        <v>0</v>
      </c>
      <c r="D111">
        <v>0.1855</v>
      </c>
    </row>
    <row r="112" spans="1:4" x14ac:dyDescent="0.2">
      <c r="A112">
        <v>208</v>
      </c>
      <c r="B112">
        <v>0.1699</v>
      </c>
      <c r="C112">
        <v>0</v>
      </c>
      <c r="D112">
        <v>0.1699</v>
      </c>
    </row>
    <row r="113" spans="1:4" x14ac:dyDescent="0.2">
      <c r="A113">
        <v>209</v>
      </c>
      <c r="B113">
        <v>0.15559999999999999</v>
      </c>
      <c r="C113">
        <v>0</v>
      </c>
      <c r="D113">
        <v>0.15559999999999999</v>
      </c>
    </row>
    <row r="114" spans="1:4" x14ac:dyDescent="0.2">
      <c r="A114">
        <v>210</v>
      </c>
      <c r="B114">
        <v>0.1429</v>
      </c>
      <c r="C114">
        <v>0</v>
      </c>
      <c r="D114">
        <v>0.1429</v>
      </c>
    </row>
    <row r="115" spans="1:4" x14ac:dyDescent="0.2">
      <c r="A115">
        <v>211</v>
      </c>
      <c r="B115">
        <v>0.1313</v>
      </c>
      <c r="C115">
        <v>0</v>
      </c>
      <c r="D115">
        <v>0.1313</v>
      </c>
    </row>
    <row r="116" spans="1:4" x14ac:dyDescent="0.2">
      <c r="A116">
        <v>212</v>
      </c>
      <c r="B116">
        <v>0.1208</v>
      </c>
      <c r="C116">
        <v>0</v>
      </c>
      <c r="D116">
        <v>0.1208</v>
      </c>
    </row>
    <row r="117" spans="1:4" x14ac:dyDescent="0.2">
      <c r="A117">
        <v>213</v>
      </c>
      <c r="B117">
        <v>0.11119999999999999</v>
      </c>
      <c r="C117">
        <v>0</v>
      </c>
      <c r="D117">
        <v>0.11119999999999999</v>
      </c>
    </row>
    <row r="118" spans="1:4" x14ac:dyDescent="0.2">
      <c r="A118">
        <v>214</v>
      </c>
      <c r="B118">
        <v>0.1026</v>
      </c>
      <c r="C118">
        <v>0</v>
      </c>
      <c r="D118">
        <v>0.1026</v>
      </c>
    </row>
    <row r="119" spans="1:4" x14ac:dyDescent="0.2">
      <c r="A119">
        <v>215</v>
      </c>
      <c r="B119">
        <v>9.4799999999999995E-2</v>
      </c>
      <c r="C119">
        <v>0</v>
      </c>
      <c r="D119">
        <v>9.4799999999999995E-2</v>
      </c>
    </row>
    <row r="120" spans="1:4" x14ac:dyDescent="0.2">
      <c r="A120">
        <v>216</v>
      </c>
      <c r="B120">
        <v>8.7800000000000003E-2</v>
      </c>
      <c r="C120">
        <v>0</v>
      </c>
      <c r="D120">
        <v>8.7800000000000003E-2</v>
      </c>
    </row>
    <row r="121" spans="1:4" x14ac:dyDescent="0.2">
      <c r="A121">
        <v>217</v>
      </c>
      <c r="B121">
        <v>8.14E-2</v>
      </c>
      <c r="C121">
        <v>0</v>
      </c>
      <c r="D121">
        <v>8.14E-2</v>
      </c>
    </row>
    <row r="122" spans="1:4" x14ac:dyDescent="0.2">
      <c r="A122">
        <v>218</v>
      </c>
      <c r="B122">
        <v>7.5399999999999995E-2</v>
      </c>
      <c r="C122">
        <v>0</v>
      </c>
      <c r="D122">
        <v>7.5399999999999995E-2</v>
      </c>
    </row>
    <row r="123" spans="1:4" x14ac:dyDescent="0.2">
      <c r="A123">
        <v>219</v>
      </c>
      <c r="B123">
        <v>7.0099999999999996E-2</v>
      </c>
      <c r="C123">
        <v>0</v>
      </c>
      <c r="D123">
        <v>7.0099999999999996E-2</v>
      </c>
    </row>
    <row r="124" spans="1:4" x14ac:dyDescent="0.2">
      <c r="A124">
        <v>220</v>
      </c>
      <c r="B124">
        <v>6.5299999999999997E-2</v>
      </c>
      <c r="C124">
        <v>0</v>
      </c>
      <c r="D124">
        <v>6.5299999999999997E-2</v>
      </c>
    </row>
    <row r="125" spans="1:4" x14ac:dyDescent="0.2">
      <c r="A125">
        <v>221</v>
      </c>
      <c r="B125">
        <v>6.0900000000000003E-2</v>
      </c>
      <c r="C125">
        <v>0</v>
      </c>
      <c r="D125">
        <v>6.0900000000000003E-2</v>
      </c>
    </row>
    <row r="126" spans="1:4" x14ac:dyDescent="0.2">
      <c r="A126">
        <v>222</v>
      </c>
      <c r="B126">
        <v>5.6899999999999999E-2</v>
      </c>
      <c r="C126">
        <v>0</v>
      </c>
      <c r="D126">
        <v>5.6899999999999999E-2</v>
      </c>
    </row>
    <row r="127" spans="1:4" x14ac:dyDescent="0.2">
      <c r="A127">
        <v>223</v>
      </c>
      <c r="B127">
        <v>5.33E-2</v>
      </c>
      <c r="C127">
        <v>0</v>
      </c>
      <c r="D127">
        <v>5.33E-2</v>
      </c>
    </row>
    <row r="128" spans="1:4" x14ac:dyDescent="0.2">
      <c r="A128">
        <v>224</v>
      </c>
      <c r="B128">
        <v>0.05</v>
      </c>
      <c r="C128">
        <v>0</v>
      </c>
      <c r="D128">
        <v>0.05</v>
      </c>
    </row>
    <row r="129" spans="1:4" x14ac:dyDescent="0.2">
      <c r="A129">
        <v>225</v>
      </c>
      <c r="B129">
        <v>4.7E-2</v>
      </c>
      <c r="C129">
        <v>0</v>
      </c>
      <c r="D129">
        <v>4.7E-2</v>
      </c>
    </row>
    <row r="130" spans="1:4" x14ac:dyDescent="0.2">
      <c r="A130">
        <v>226</v>
      </c>
      <c r="B130">
        <v>4.4299999999999999E-2</v>
      </c>
      <c r="C130">
        <v>0</v>
      </c>
      <c r="D130">
        <v>4.4299999999999999E-2</v>
      </c>
    </row>
    <row r="131" spans="1:4" x14ac:dyDescent="0.2">
      <c r="A131">
        <v>227</v>
      </c>
      <c r="B131">
        <v>4.19E-2</v>
      </c>
      <c r="C131">
        <v>0</v>
      </c>
      <c r="D131">
        <v>4.19E-2</v>
      </c>
    </row>
    <row r="132" spans="1:4" x14ac:dyDescent="0.2">
      <c r="A132">
        <v>228</v>
      </c>
      <c r="B132">
        <v>3.9800000000000002E-2</v>
      </c>
      <c r="C132">
        <v>0</v>
      </c>
      <c r="D132">
        <v>3.9800000000000002E-2</v>
      </c>
    </row>
    <row r="133" spans="1:4" x14ac:dyDescent="0.2">
      <c r="A133">
        <v>229</v>
      </c>
      <c r="B133">
        <v>3.7999999999999999E-2</v>
      </c>
      <c r="C133">
        <v>0</v>
      </c>
      <c r="D133">
        <v>3.7999999999999999E-2</v>
      </c>
    </row>
    <row r="134" spans="1:4" x14ac:dyDescent="0.2">
      <c r="A134">
        <v>230</v>
      </c>
      <c r="B134">
        <v>3.6400000000000002E-2</v>
      </c>
      <c r="C134">
        <v>0</v>
      </c>
      <c r="D134">
        <v>3.6400000000000002E-2</v>
      </c>
    </row>
    <row r="135" spans="1:4" x14ac:dyDescent="0.2">
      <c r="A135">
        <v>231</v>
      </c>
      <c r="B135">
        <v>3.5000000000000003E-2</v>
      </c>
      <c r="C135">
        <v>0</v>
      </c>
      <c r="D135">
        <v>3.5000000000000003E-2</v>
      </c>
    </row>
    <row r="136" spans="1:4" x14ac:dyDescent="0.2">
      <c r="A136">
        <v>232</v>
      </c>
      <c r="B136">
        <v>3.3599999999999998E-2</v>
      </c>
      <c r="C136">
        <v>0</v>
      </c>
      <c r="D136">
        <v>3.3599999999999998E-2</v>
      </c>
    </row>
    <row r="137" spans="1:4" x14ac:dyDescent="0.2">
      <c r="A137">
        <v>233</v>
      </c>
      <c r="B137">
        <v>3.2199999999999999E-2</v>
      </c>
      <c r="C137">
        <v>0</v>
      </c>
      <c r="D137">
        <v>3.2199999999999999E-2</v>
      </c>
    </row>
    <row r="138" spans="1:4" x14ac:dyDescent="0.2">
      <c r="A138">
        <v>234</v>
      </c>
      <c r="B138">
        <v>3.09E-2</v>
      </c>
      <c r="C138">
        <v>0</v>
      </c>
      <c r="D138">
        <v>3.09E-2</v>
      </c>
    </row>
    <row r="139" spans="1:4" x14ac:dyDescent="0.2">
      <c r="A139">
        <v>235</v>
      </c>
      <c r="B139">
        <v>2.9600000000000001E-2</v>
      </c>
      <c r="C139">
        <v>0</v>
      </c>
      <c r="D139">
        <v>2.9600000000000001E-2</v>
      </c>
    </row>
    <row r="140" spans="1:4" x14ac:dyDescent="0.2">
      <c r="A140">
        <v>236</v>
      </c>
      <c r="B140">
        <v>2.8199999999999999E-2</v>
      </c>
      <c r="C140">
        <v>0</v>
      </c>
      <c r="D140">
        <v>2.8199999999999999E-2</v>
      </c>
    </row>
    <row r="141" spans="1:4" x14ac:dyDescent="0.2">
      <c r="A141">
        <v>237</v>
      </c>
      <c r="B141">
        <v>2.69E-2</v>
      </c>
      <c r="C141">
        <v>0</v>
      </c>
      <c r="D141">
        <v>2.69E-2</v>
      </c>
    </row>
    <row r="142" spans="1:4" x14ac:dyDescent="0.2">
      <c r="A142">
        <v>238</v>
      </c>
      <c r="B142">
        <v>2.5499999999999998E-2</v>
      </c>
      <c r="C142">
        <v>0</v>
      </c>
      <c r="D142">
        <v>2.5499999999999998E-2</v>
      </c>
    </row>
    <row r="143" spans="1:4" x14ac:dyDescent="0.2">
      <c r="A143">
        <v>239</v>
      </c>
      <c r="B143">
        <v>2.4199999999999999E-2</v>
      </c>
      <c r="C143">
        <v>0</v>
      </c>
      <c r="D143">
        <v>2.4199999999999999E-2</v>
      </c>
    </row>
    <row r="144" spans="1:4" x14ac:dyDescent="0.2">
      <c r="A144">
        <v>240</v>
      </c>
      <c r="B144">
        <v>2.29E-2</v>
      </c>
      <c r="C144">
        <v>0</v>
      </c>
      <c r="D144">
        <v>2.29E-2</v>
      </c>
    </row>
    <row r="145" spans="1:4" x14ac:dyDescent="0.2">
      <c r="A145">
        <v>241</v>
      </c>
      <c r="B145">
        <v>2.1700000000000001E-2</v>
      </c>
      <c r="C145">
        <v>0</v>
      </c>
      <c r="D145">
        <v>2.1700000000000001E-2</v>
      </c>
    </row>
    <row r="146" spans="1:4" x14ac:dyDescent="0.2">
      <c r="A146">
        <v>242</v>
      </c>
      <c r="B146">
        <v>2.0500000000000001E-2</v>
      </c>
      <c r="C146">
        <v>0</v>
      </c>
      <c r="D146">
        <v>2.0500000000000001E-2</v>
      </c>
    </row>
    <row r="147" spans="1:4" x14ac:dyDescent="0.2">
      <c r="A147">
        <v>243</v>
      </c>
      <c r="B147">
        <v>1.9400000000000001E-2</v>
      </c>
      <c r="C147">
        <v>0</v>
      </c>
      <c r="D147">
        <v>1.9400000000000001E-2</v>
      </c>
    </row>
    <row r="148" spans="1:4" x14ac:dyDescent="0.2">
      <c r="A148">
        <v>244</v>
      </c>
      <c r="B148">
        <v>1.83E-2</v>
      </c>
      <c r="C148">
        <v>0</v>
      </c>
      <c r="D148">
        <v>1.83E-2</v>
      </c>
    </row>
    <row r="149" spans="1:4" x14ac:dyDescent="0.2">
      <c r="A149">
        <v>245</v>
      </c>
      <c r="B149">
        <v>1.7299999999999999E-2</v>
      </c>
      <c r="C149">
        <v>0</v>
      </c>
      <c r="D149">
        <v>1.7299999999999999E-2</v>
      </c>
    </row>
    <row r="150" spans="1:4" x14ac:dyDescent="0.2">
      <c r="A150">
        <v>246</v>
      </c>
      <c r="B150">
        <v>1.6400000000000001E-2</v>
      </c>
      <c r="C150">
        <v>0</v>
      </c>
      <c r="D150">
        <v>1.6400000000000001E-2</v>
      </c>
    </row>
    <row r="151" spans="1:4" x14ac:dyDescent="0.2">
      <c r="A151" s="25">
        <v>247</v>
      </c>
      <c r="B151" s="25">
        <v>1.55E-2</v>
      </c>
      <c r="C151" s="25">
        <v>0</v>
      </c>
      <c r="D151" s="25">
        <v>1.55E-2</v>
      </c>
    </row>
    <row r="152" spans="1:4" x14ac:dyDescent="0.2">
      <c r="A152">
        <v>248</v>
      </c>
      <c r="B152">
        <v>1.46E-2</v>
      </c>
      <c r="C152">
        <v>0</v>
      </c>
      <c r="D152">
        <v>1.46E-2</v>
      </c>
    </row>
    <row r="153" spans="1:4" x14ac:dyDescent="0.2">
      <c r="A153">
        <v>249</v>
      </c>
      <c r="B153">
        <v>1.38E-2</v>
      </c>
      <c r="C153">
        <v>0</v>
      </c>
      <c r="D153">
        <v>1.38E-2</v>
      </c>
    </row>
    <row r="154" spans="1:4" x14ac:dyDescent="0.2">
      <c r="A154">
        <v>250</v>
      </c>
      <c r="B154">
        <v>1.3100000000000001E-2</v>
      </c>
      <c r="C154">
        <v>0</v>
      </c>
      <c r="D154">
        <v>1.3100000000000001E-2</v>
      </c>
    </row>
    <row r="155" spans="1:4" x14ac:dyDescent="0.2">
      <c r="A155">
        <v>251</v>
      </c>
      <c r="B155">
        <v>1.23E-2</v>
      </c>
      <c r="C155">
        <v>0</v>
      </c>
      <c r="D155">
        <v>1.23E-2</v>
      </c>
    </row>
    <row r="156" spans="1:4" x14ac:dyDescent="0.2">
      <c r="A156">
        <v>252</v>
      </c>
      <c r="B156">
        <v>1.17E-2</v>
      </c>
      <c r="C156">
        <v>0</v>
      </c>
      <c r="D156">
        <v>1.17E-2</v>
      </c>
    </row>
    <row r="157" spans="1:4" x14ac:dyDescent="0.2">
      <c r="A157">
        <v>253</v>
      </c>
      <c r="B157">
        <v>1.0999999999999999E-2</v>
      </c>
      <c r="C157">
        <v>0</v>
      </c>
      <c r="D157">
        <v>1.0999999999999999E-2</v>
      </c>
    </row>
    <row r="158" spans="1:4" x14ac:dyDescent="0.2">
      <c r="A158">
        <v>254</v>
      </c>
      <c r="B158">
        <v>1.0500000000000001E-2</v>
      </c>
      <c r="C158">
        <v>0</v>
      </c>
      <c r="D158">
        <v>1.0500000000000001E-2</v>
      </c>
    </row>
    <row r="159" spans="1:4" x14ac:dyDescent="0.2">
      <c r="A159">
        <v>255</v>
      </c>
      <c r="B159">
        <v>9.9000000000000008E-3</v>
      </c>
      <c r="C159">
        <v>0</v>
      </c>
      <c r="D159">
        <v>9.9000000000000008E-3</v>
      </c>
    </row>
    <row r="160" spans="1:4" x14ac:dyDescent="0.2">
      <c r="A160">
        <v>256</v>
      </c>
      <c r="B160">
        <v>9.4000000000000004E-3</v>
      </c>
      <c r="C160">
        <v>0</v>
      </c>
      <c r="D160">
        <v>9.4000000000000004E-3</v>
      </c>
    </row>
    <row r="161" spans="1:4" x14ac:dyDescent="0.2">
      <c r="A161">
        <v>257</v>
      </c>
      <c r="B161">
        <v>8.8999999999999999E-3</v>
      </c>
      <c r="C161">
        <v>0</v>
      </c>
      <c r="D161">
        <v>8.8999999999999999E-3</v>
      </c>
    </row>
    <row r="162" spans="1:4" x14ac:dyDescent="0.2">
      <c r="A162">
        <v>258</v>
      </c>
      <c r="B162">
        <v>8.5000000000000006E-3</v>
      </c>
      <c r="C162">
        <v>0</v>
      </c>
      <c r="D162">
        <v>8.5000000000000006E-3</v>
      </c>
    </row>
    <row r="163" spans="1:4" x14ac:dyDescent="0.2">
      <c r="A163">
        <v>259</v>
      </c>
      <c r="B163">
        <v>8.0000000000000002E-3</v>
      </c>
      <c r="C163">
        <v>0</v>
      </c>
      <c r="D163">
        <v>8.0000000000000002E-3</v>
      </c>
    </row>
    <row r="164" spans="1:4" x14ac:dyDescent="0.2">
      <c r="A164">
        <v>260</v>
      </c>
      <c r="B164">
        <v>7.6E-3</v>
      </c>
      <c r="C164">
        <v>0</v>
      </c>
      <c r="D164">
        <v>7.6E-3</v>
      </c>
    </row>
    <row r="165" spans="1:4" x14ac:dyDescent="0.2">
      <c r="A165">
        <v>261</v>
      </c>
      <c r="B165">
        <v>7.3000000000000001E-3</v>
      </c>
      <c r="C165">
        <v>0</v>
      </c>
      <c r="D165">
        <v>7.3000000000000001E-3</v>
      </c>
    </row>
    <row r="166" spans="1:4" x14ac:dyDescent="0.2">
      <c r="A166">
        <v>262</v>
      </c>
      <c r="B166">
        <v>6.8999999999999999E-3</v>
      </c>
      <c r="C166">
        <v>0</v>
      </c>
      <c r="D166">
        <v>6.8999999999999999E-3</v>
      </c>
    </row>
    <row r="167" spans="1:4" x14ac:dyDescent="0.2">
      <c r="A167">
        <v>263</v>
      </c>
      <c r="B167">
        <v>6.6E-3</v>
      </c>
      <c r="C167">
        <v>0</v>
      </c>
      <c r="D167">
        <v>6.6E-3</v>
      </c>
    </row>
    <row r="168" spans="1:4" x14ac:dyDescent="0.2">
      <c r="A168">
        <v>264</v>
      </c>
      <c r="B168">
        <v>6.3E-3</v>
      </c>
      <c r="C168">
        <v>0</v>
      </c>
      <c r="D168">
        <v>6.3E-3</v>
      </c>
    </row>
    <row r="169" spans="1:4" x14ac:dyDescent="0.2">
      <c r="A169">
        <v>265</v>
      </c>
      <c r="B169">
        <v>6.0000000000000001E-3</v>
      </c>
      <c r="C169">
        <v>0</v>
      </c>
      <c r="D169">
        <v>6.0000000000000001E-3</v>
      </c>
    </row>
    <row r="170" spans="1:4" x14ac:dyDescent="0.2">
      <c r="A170">
        <v>266</v>
      </c>
      <c r="B170">
        <v>5.7000000000000002E-3</v>
      </c>
      <c r="C170">
        <v>0</v>
      </c>
      <c r="D170">
        <v>5.7000000000000002E-3</v>
      </c>
    </row>
    <row r="171" spans="1:4" x14ac:dyDescent="0.2">
      <c r="A171">
        <v>267</v>
      </c>
      <c r="B171">
        <v>5.4000000000000003E-3</v>
      </c>
      <c r="C171">
        <v>0</v>
      </c>
      <c r="D171">
        <v>5.4000000000000003E-3</v>
      </c>
    </row>
    <row r="172" spans="1:4" x14ac:dyDescent="0.2">
      <c r="A172">
        <v>268</v>
      </c>
      <c r="B172">
        <v>5.1999999999999998E-3</v>
      </c>
      <c r="C172">
        <v>0</v>
      </c>
      <c r="D172">
        <v>5.1999999999999998E-3</v>
      </c>
    </row>
    <row r="173" spans="1:4" x14ac:dyDescent="0.2">
      <c r="A173">
        <v>269</v>
      </c>
      <c r="B173">
        <v>5.0000000000000001E-3</v>
      </c>
      <c r="C173">
        <v>0</v>
      </c>
      <c r="D173">
        <v>5.0000000000000001E-3</v>
      </c>
    </row>
    <row r="174" spans="1:4" x14ac:dyDescent="0.2">
      <c r="A174">
        <v>270</v>
      </c>
      <c r="B174">
        <v>4.7999999999999996E-3</v>
      </c>
      <c r="C174">
        <v>0</v>
      </c>
      <c r="D174">
        <v>4.7999999999999996E-3</v>
      </c>
    </row>
    <row r="175" spans="1:4" x14ac:dyDescent="0.2">
      <c r="A175">
        <v>271</v>
      </c>
      <c r="B175">
        <v>4.5999999999999999E-3</v>
      </c>
      <c r="C175">
        <v>0</v>
      </c>
      <c r="D175">
        <v>4.5999999999999999E-3</v>
      </c>
    </row>
    <row r="176" spans="1:4" x14ac:dyDescent="0.2">
      <c r="A176">
        <v>272</v>
      </c>
      <c r="B176">
        <v>4.4999999999999997E-3</v>
      </c>
      <c r="C176">
        <v>0</v>
      </c>
      <c r="D176">
        <v>4.4999999999999997E-3</v>
      </c>
    </row>
    <row r="177" spans="1:4" x14ac:dyDescent="0.2">
      <c r="A177">
        <v>273</v>
      </c>
      <c r="B177">
        <v>4.3E-3</v>
      </c>
      <c r="C177">
        <v>0</v>
      </c>
      <c r="D177">
        <v>4.3E-3</v>
      </c>
    </row>
    <row r="178" spans="1:4" x14ac:dyDescent="0.2">
      <c r="A178">
        <v>274</v>
      </c>
      <c r="B178">
        <v>4.1999999999999997E-3</v>
      </c>
      <c r="C178">
        <v>0</v>
      </c>
      <c r="D178">
        <v>4.1999999999999997E-3</v>
      </c>
    </row>
    <row r="179" spans="1:4" x14ac:dyDescent="0.2">
      <c r="A179">
        <v>275</v>
      </c>
      <c r="B179">
        <v>4.1000000000000003E-3</v>
      </c>
      <c r="C179">
        <v>0</v>
      </c>
      <c r="D179">
        <v>4.1000000000000003E-3</v>
      </c>
    </row>
    <row r="180" spans="1:4" x14ac:dyDescent="0.2">
      <c r="A180">
        <v>276</v>
      </c>
      <c r="B180">
        <v>4.0000000000000001E-3</v>
      </c>
      <c r="C180">
        <v>0</v>
      </c>
      <c r="D180">
        <v>4.0000000000000001E-3</v>
      </c>
    </row>
    <row r="181" spans="1:4" x14ac:dyDescent="0.2">
      <c r="A181">
        <v>277</v>
      </c>
      <c r="B181">
        <v>3.8999999999999998E-3</v>
      </c>
      <c r="C181">
        <v>0</v>
      </c>
      <c r="D181">
        <v>3.8999999999999998E-3</v>
      </c>
    </row>
    <row r="182" spans="1:4" x14ac:dyDescent="0.2">
      <c r="A182">
        <v>278</v>
      </c>
      <c r="B182">
        <v>3.8999999999999998E-3</v>
      </c>
      <c r="C182">
        <v>0</v>
      </c>
      <c r="D182">
        <v>3.8999999999999998E-3</v>
      </c>
    </row>
    <row r="183" spans="1:4" x14ac:dyDescent="0.2">
      <c r="A183">
        <v>279</v>
      </c>
      <c r="B183">
        <v>3.8E-3</v>
      </c>
      <c r="C183">
        <v>0</v>
      </c>
      <c r="D183">
        <v>3.8E-3</v>
      </c>
    </row>
    <row r="184" spans="1:4" x14ac:dyDescent="0.2">
      <c r="A184">
        <v>280</v>
      </c>
      <c r="B184">
        <v>3.7000000000000002E-3</v>
      </c>
      <c r="C184">
        <v>0</v>
      </c>
      <c r="D184">
        <v>3.7000000000000002E-3</v>
      </c>
    </row>
    <row r="185" spans="1:4" x14ac:dyDescent="0.2">
      <c r="A185">
        <v>281</v>
      </c>
      <c r="B185">
        <v>3.7000000000000002E-3</v>
      </c>
      <c r="C185">
        <v>0</v>
      </c>
      <c r="D185">
        <v>3.7000000000000002E-3</v>
      </c>
    </row>
    <row r="186" spans="1:4" x14ac:dyDescent="0.2">
      <c r="A186">
        <v>282</v>
      </c>
      <c r="B186">
        <v>3.5999999999999999E-3</v>
      </c>
      <c r="C186">
        <v>0</v>
      </c>
      <c r="D186">
        <v>3.5999999999999999E-3</v>
      </c>
    </row>
    <row r="187" spans="1:4" x14ac:dyDescent="0.2">
      <c r="A187">
        <v>283</v>
      </c>
      <c r="B187">
        <v>3.5000000000000001E-3</v>
      </c>
      <c r="C187">
        <v>0</v>
      </c>
      <c r="D187">
        <v>3.5000000000000001E-3</v>
      </c>
    </row>
    <row r="188" spans="1:4" x14ac:dyDescent="0.2">
      <c r="A188">
        <v>284</v>
      </c>
      <c r="B188">
        <v>3.5000000000000001E-3</v>
      </c>
      <c r="C188">
        <v>0</v>
      </c>
      <c r="D188">
        <v>3.5000000000000001E-3</v>
      </c>
    </row>
    <row r="189" spans="1:4" x14ac:dyDescent="0.2">
      <c r="A189">
        <v>285</v>
      </c>
      <c r="B189">
        <v>3.3999999999999998E-3</v>
      </c>
      <c r="C189">
        <v>0</v>
      </c>
      <c r="D189">
        <v>3.3999999999999998E-3</v>
      </c>
    </row>
    <row r="190" spans="1:4" x14ac:dyDescent="0.2">
      <c r="A190">
        <v>286</v>
      </c>
      <c r="B190">
        <v>3.3999999999999998E-3</v>
      </c>
      <c r="C190">
        <v>0</v>
      </c>
      <c r="D190">
        <v>3.3999999999999998E-3</v>
      </c>
    </row>
    <row r="191" spans="1:4" x14ac:dyDescent="0.2">
      <c r="A191">
        <v>287</v>
      </c>
      <c r="B191">
        <v>3.3999999999999998E-3</v>
      </c>
      <c r="C191">
        <v>0</v>
      </c>
      <c r="D191">
        <v>3.3999999999999998E-3</v>
      </c>
    </row>
    <row r="192" spans="1:4" x14ac:dyDescent="0.2">
      <c r="A192">
        <v>288</v>
      </c>
      <c r="B192">
        <v>3.3E-3</v>
      </c>
      <c r="C192">
        <v>0</v>
      </c>
      <c r="D192">
        <v>3.3E-3</v>
      </c>
    </row>
    <row r="193" spans="1:4" x14ac:dyDescent="0.2">
      <c r="A193">
        <v>289</v>
      </c>
      <c r="B193">
        <v>3.3E-3</v>
      </c>
      <c r="C193">
        <v>0</v>
      </c>
      <c r="D193">
        <v>3.3E-3</v>
      </c>
    </row>
    <row r="194" spans="1:4" x14ac:dyDescent="0.2">
      <c r="A194">
        <v>290</v>
      </c>
      <c r="B194">
        <v>3.3E-3</v>
      </c>
      <c r="C194">
        <v>0</v>
      </c>
      <c r="D194">
        <v>3.3E-3</v>
      </c>
    </row>
    <row r="195" spans="1:4" x14ac:dyDescent="0.2">
      <c r="A195">
        <v>291</v>
      </c>
      <c r="B195">
        <v>3.3999999999999998E-3</v>
      </c>
      <c r="C195">
        <v>0</v>
      </c>
      <c r="D195">
        <v>3.3999999999999998E-3</v>
      </c>
    </row>
    <row r="196" spans="1:4" x14ac:dyDescent="0.2">
      <c r="A196">
        <v>292</v>
      </c>
      <c r="B196">
        <v>3.3999999999999998E-3</v>
      </c>
      <c r="C196">
        <v>0</v>
      </c>
      <c r="D196">
        <v>3.3999999999999998E-3</v>
      </c>
    </row>
    <row r="197" spans="1:4" x14ac:dyDescent="0.2">
      <c r="A197">
        <v>293</v>
      </c>
      <c r="B197">
        <v>3.3999999999999998E-3</v>
      </c>
      <c r="C197">
        <v>0</v>
      </c>
      <c r="D197">
        <v>3.3999999999999998E-3</v>
      </c>
    </row>
    <row r="198" spans="1:4" x14ac:dyDescent="0.2">
      <c r="A198">
        <v>294</v>
      </c>
      <c r="B198">
        <v>3.3999999999999998E-3</v>
      </c>
      <c r="C198">
        <v>0</v>
      </c>
      <c r="D198">
        <v>3.3999999999999998E-3</v>
      </c>
    </row>
    <row r="199" spans="1:4" x14ac:dyDescent="0.2">
      <c r="A199">
        <v>295</v>
      </c>
      <c r="B199">
        <v>3.3999999999999998E-3</v>
      </c>
      <c r="C199">
        <v>0</v>
      </c>
      <c r="D199">
        <v>3.3999999999999998E-3</v>
      </c>
    </row>
    <row r="200" spans="1:4" x14ac:dyDescent="0.2">
      <c r="A200">
        <v>296</v>
      </c>
      <c r="B200">
        <v>3.3999999999999998E-3</v>
      </c>
      <c r="C200">
        <v>0</v>
      </c>
      <c r="D200">
        <v>3.3999999999999998E-3</v>
      </c>
    </row>
    <row r="201" spans="1:4" x14ac:dyDescent="0.2">
      <c r="A201">
        <v>297</v>
      </c>
      <c r="B201">
        <v>3.3999999999999998E-3</v>
      </c>
      <c r="C201">
        <v>0</v>
      </c>
      <c r="D201">
        <v>3.3999999999999998E-3</v>
      </c>
    </row>
    <row r="202" spans="1:4" x14ac:dyDescent="0.2">
      <c r="A202">
        <v>298</v>
      </c>
      <c r="B202">
        <v>3.3999999999999998E-3</v>
      </c>
      <c r="C202">
        <v>0</v>
      </c>
      <c r="D202">
        <v>3.3999999999999998E-3</v>
      </c>
    </row>
    <row r="203" spans="1:4" x14ac:dyDescent="0.2">
      <c r="A203">
        <v>299</v>
      </c>
      <c r="B203">
        <v>3.3999999999999998E-3</v>
      </c>
      <c r="C203">
        <v>0</v>
      </c>
      <c r="D203">
        <v>3.3999999999999998E-3</v>
      </c>
    </row>
    <row r="204" spans="1:4" x14ac:dyDescent="0.2">
      <c r="A204">
        <v>300</v>
      </c>
      <c r="B204">
        <v>3.3E-3</v>
      </c>
      <c r="C204">
        <v>0</v>
      </c>
      <c r="D204">
        <v>3.3E-3</v>
      </c>
    </row>
    <row r="205" spans="1:4" x14ac:dyDescent="0.2">
      <c r="A205">
        <v>301</v>
      </c>
      <c r="B205">
        <v>3.3E-3</v>
      </c>
      <c r="C205">
        <v>0</v>
      </c>
      <c r="D205">
        <v>3.3E-3</v>
      </c>
    </row>
    <row r="206" spans="1:4" x14ac:dyDescent="0.2">
      <c r="A206">
        <v>302</v>
      </c>
      <c r="B206">
        <v>3.3E-3</v>
      </c>
      <c r="C206">
        <v>0</v>
      </c>
      <c r="D206">
        <v>3.3E-3</v>
      </c>
    </row>
    <row r="207" spans="1:4" x14ac:dyDescent="0.2">
      <c r="A207">
        <v>303</v>
      </c>
      <c r="B207">
        <v>3.3E-3</v>
      </c>
      <c r="C207">
        <v>0</v>
      </c>
      <c r="D207">
        <v>3.3E-3</v>
      </c>
    </row>
    <row r="208" spans="1:4" x14ac:dyDescent="0.2">
      <c r="A208">
        <v>304</v>
      </c>
      <c r="B208">
        <v>3.2000000000000002E-3</v>
      </c>
      <c r="C208">
        <v>0</v>
      </c>
      <c r="D208">
        <v>3.2000000000000002E-3</v>
      </c>
    </row>
    <row r="209" spans="1:4" x14ac:dyDescent="0.2">
      <c r="A209">
        <v>305</v>
      </c>
      <c r="B209">
        <v>3.2000000000000002E-3</v>
      </c>
      <c r="C209">
        <v>0</v>
      </c>
      <c r="D209">
        <v>3.2000000000000002E-3</v>
      </c>
    </row>
    <row r="210" spans="1:4" x14ac:dyDescent="0.2">
      <c r="A210">
        <v>306</v>
      </c>
      <c r="B210">
        <v>3.0999999999999999E-3</v>
      </c>
      <c r="C210">
        <v>0</v>
      </c>
      <c r="D210">
        <v>3.0999999999999999E-3</v>
      </c>
    </row>
    <row r="211" spans="1:4" x14ac:dyDescent="0.2">
      <c r="A211">
        <v>307</v>
      </c>
      <c r="B211">
        <v>3.0999999999999999E-3</v>
      </c>
      <c r="C211">
        <v>0</v>
      </c>
      <c r="D211">
        <v>3.0999999999999999E-3</v>
      </c>
    </row>
    <row r="212" spans="1:4" x14ac:dyDescent="0.2">
      <c r="A212">
        <v>308</v>
      </c>
      <c r="B212">
        <v>3.0999999999999999E-3</v>
      </c>
      <c r="C212">
        <v>0</v>
      </c>
      <c r="D212">
        <v>3.0999999999999999E-3</v>
      </c>
    </row>
    <row r="213" spans="1:4" x14ac:dyDescent="0.2">
      <c r="A213">
        <v>309</v>
      </c>
      <c r="B213">
        <v>3.0000000000000001E-3</v>
      </c>
      <c r="C213">
        <v>0</v>
      </c>
      <c r="D213">
        <v>3.0000000000000001E-3</v>
      </c>
    </row>
    <row r="214" spans="1:4" x14ac:dyDescent="0.2">
      <c r="A214">
        <v>310</v>
      </c>
      <c r="B214">
        <v>3.0000000000000001E-3</v>
      </c>
      <c r="C214">
        <v>0</v>
      </c>
      <c r="D214">
        <v>3.0000000000000001E-3</v>
      </c>
    </row>
    <row r="215" spans="1:4" x14ac:dyDescent="0.2">
      <c r="A215">
        <v>311</v>
      </c>
      <c r="B215">
        <v>3.0000000000000001E-3</v>
      </c>
      <c r="C215">
        <v>0</v>
      </c>
      <c r="D215">
        <v>3.0000000000000001E-3</v>
      </c>
    </row>
    <row r="216" spans="1:4" x14ac:dyDescent="0.2">
      <c r="A216">
        <v>312</v>
      </c>
      <c r="B216">
        <v>2.8999999999999998E-3</v>
      </c>
      <c r="C216">
        <v>0</v>
      </c>
      <c r="D216">
        <v>2.8999999999999998E-3</v>
      </c>
    </row>
    <row r="217" spans="1:4" x14ac:dyDescent="0.2">
      <c r="A217">
        <v>313</v>
      </c>
      <c r="B217">
        <v>2.8999999999999998E-3</v>
      </c>
      <c r="C217">
        <v>0</v>
      </c>
      <c r="D217">
        <v>2.8999999999999998E-3</v>
      </c>
    </row>
    <row r="218" spans="1:4" x14ac:dyDescent="0.2">
      <c r="A218">
        <v>314</v>
      </c>
      <c r="B218">
        <v>2.8E-3</v>
      </c>
      <c r="C218">
        <v>0</v>
      </c>
      <c r="D218">
        <v>2.8E-3</v>
      </c>
    </row>
    <row r="219" spans="1:4" x14ac:dyDescent="0.2">
      <c r="A219">
        <v>315</v>
      </c>
      <c r="B219">
        <v>2.8E-3</v>
      </c>
      <c r="C219">
        <v>0</v>
      </c>
      <c r="D219">
        <v>2.8E-3</v>
      </c>
    </row>
    <row r="220" spans="1:4" x14ac:dyDescent="0.2">
      <c r="A220">
        <v>316</v>
      </c>
      <c r="B220">
        <v>2.8E-3</v>
      </c>
      <c r="C220">
        <v>0</v>
      </c>
      <c r="D220">
        <v>2.8E-3</v>
      </c>
    </row>
    <row r="221" spans="1:4" x14ac:dyDescent="0.2">
      <c r="A221">
        <v>317</v>
      </c>
      <c r="B221">
        <v>2.7000000000000001E-3</v>
      </c>
      <c r="C221">
        <v>0</v>
      </c>
      <c r="D221">
        <v>2.7000000000000001E-3</v>
      </c>
    </row>
    <row r="222" spans="1:4" x14ac:dyDescent="0.2">
      <c r="A222">
        <v>318</v>
      </c>
      <c r="B222">
        <v>2.7000000000000001E-3</v>
      </c>
      <c r="C222">
        <v>0</v>
      </c>
      <c r="D222">
        <v>2.7000000000000001E-3</v>
      </c>
    </row>
    <row r="223" spans="1:4" x14ac:dyDescent="0.2">
      <c r="A223">
        <v>319</v>
      </c>
      <c r="B223">
        <v>2.5999999999999999E-3</v>
      </c>
      <c r="C223">
        <v>0</v>
      </c>
      <c r="D223">
        <v>2.5999999999999999E-3</v>
      </c>
    </row>
    <row r="224" spans="1:4" x14ac:dyDescent="0.2">
      <c r="A224">
        <v>320</v>
      </c>
      <c r="B224">
        <v>2.5999999999999999E-3</v>
      </c>
      <c r="C224">
        <v>0</v>
      </c>
      <c r="D224">
        <v>2.5999999999999999E-3</v>
      </c>
    </row>
    <row r="225" spans="1:4" x14ac:dyDescent="0.2">
      <c r="A225">
        <v>321</v>
      </c>
      <c r="B225">
        <v>2.5999999999999999E-3</v>
      </c>
      <c r="C225">
        <v>0</v>
      </c>
      <c r="D225">
        <v>2.5999999999999999E-3</v>
      </c>
    </row>
    <row r="226" spans="1:4" x14ac:dyDescent="0.2">
      <c r="A226">
        <v>322</v>
      </c>
      <c r="B226">
        <v>2.5000000000000001E-3</v>
      </c>
      <c r="C226">
        <v>0</v>
      </c>
      <c r="D226">
        <v>2.5000000000000001E-3</v>
      </c>
    </row>
    <row r="227" spans="1:4" x14ac:dyDescent="0.2">
      <c r="A227">
        <v>323</v>
      </c>
      <c r="B227">
        <v>2.5000000000000001E-3</v>
      </c>
      <c r="C227">
        <v>0</v>
      </c>
      <c r="D227">
        <v>2.5000000000000001E-3</v>
      </c>
    </row>
    <row r="228" spans="1:4" x14ac:dyDescent="0.2">
      <c r="A228">
        <v>324</v>
      </c>
      <c r="B228">
        <v>2.3999999999999998E-3</v>
      </c>
      <c r="C228">
        <v>0</v>
      </c>
      <c r="D228">
        <v>2.3999999999999998E-3</v>
      </c>
    </row>
    <row r="229" spans="1:4" x14ac:dyDescent="0.2">
      <c r="A229">
        <v>325</v>
      </c>
      <c r="B229">
        <v>2.3999999999999998E-3</v>
      </c>
      <c r="C229">
        <v>0</v>
      </c>
      <c r="D229">
        <v>2.3999999999999998E-3</v>
      </c>
    </row>
    <row r="230" spans="1:4" x14ac:dyDescent="0.2">
      <c r="A230">
        <v>326</v>
      </c>
      <c r="B230">
        <v>2.3999999999999998E-3</v>
      </c>
      <c r="C230">
        <v>0</v>
      </c>
      <c r="D230">
        <v>2.3999999999999998E-3</v>
      </c>
    </row>
    <row r="231" spans="1:4" x14ac:dyDescent="0.2">
      <c r="A231">
        <v>327</v>
      </c>
      <c r="B231">
        <v>2.3E-3</v>
      </c>
      <c r="C231">
        <v>0</v>
      </c>
      <c r="D231">
        <v>2.3E-3</v>
      </c>
    </row>
    <row r="232" spans="1:4" x14ac:dyDescent="0.2">
      <c r="A232">
        <v>328</v>
      </c>
      <c r="B232">
        <v>2.3E-3</v>
      </c>
      <c r="C232">
        <v>0</v>
      </c>
      <c r="D232">
        <v>2.3E-3</v>
      </c>
    </row>
    <row r="233" spans="1:4" x14ac:dyDescent="0.2">
      <c r="A233">
        <v>329</v>
      </c>
      <c r="B233">
        <v>2.3E-3</v>
      </c>
      <c r="C233">
        <v>0</v>
      </c>
      <c r="D233">
        <v>2.3E-3</v>
      </c>
    </row>
    <row r="234" spans="1:4" x14ac:dyDescent="0.2">
      <c r="A234">
        <v>330</v>
      </c>
      <c r="B234">
        <v>2.2000000000000001E-3</v>
      </c>
      <c r="C234">
        <v>0</v>
      </c>
      <c r="D234">
        <v>2.2000000000000001E-3</v>
      </c>
    </row>
    <row r="235" spans="1:4" x14ac:dyDescent="0.2">
      <c r="A235">
        <v>331</v>
      </c>
      <c r="B235">
        <v>2.2000000000000001E-3</v>
      </c>
      <c r="C235">
        <v>0</v>
      </c>
      <c r="D235">
        <v>2.2000000000000001E-3</v>
      </c>
    </row>
    <row r="236" spans="1:4" x14ac:dyDescent="0.2">
      <c r="A236">
        <v>332</v>
      </c>
      <c r="B236">
        <v>2.2000000000000001E-3</v>
      </c>
      <c r="C236">
        <v>0</v>
      </c>
      <c r="D236">
        <v>2.2000000000000001E-3</v>
      </c>
    </row>
    <row r="237" spans="1:4" x14ac:dyDescent="0.2">
      <c r="A237">
        <v>333</v>
      </c>
      <c r="B237">
        <v>2.0999999999999999E-3</v>
      </c>
      <c r="C237">
        <v>0</v>
      </c>
      <c r="D237">
        <v>2.0999999999999999E-3</v>
      </c>
    </row>
    <row r="238" spans="1:4" x14ac:dyDescent="0.2">
      <c r="A238">
        <v>334</v>
      </c>
      <c r="B238">
        <v>2.0999999999999999E-3</v>
      </c>
      <c r="C238">
        <v>0</v>
      </c>
      <c r="D238">
        <v>2.0999999999999999E-3</v>
      </c>
    </row>
    <row r="239" spans="1:4" x14ac:dyDescent="0.2">
      <c r="A239">
        <v>335</v>
      </c>
      <c r="B239">
        <v>2.0999999999999999E-3</v>
      </c>
      <c r="C239">
        <v>0</v>
      </c>
      <c r="D239">
        <v>2.0999999999999999E-3</v>
      </c>
    </row>
    <row r="240" spans="1:4" x14ac:dyDescent="0.2">
      <c r="A240">
        <v>336</v>
      </c>
      <c r="B240">
        <v>2.0999999999999999E-3</v>
      </c>
      <c r="C240">
        <v>0</v>
      </c>
      <c r="D240">
        <v>2.0999999999999999E-3</v>
      </c>
    </row>
    <row r="241" spans="1:4" x14ac:dyDescent="0.2">
      <c r="A241">
        <v>337</v>
      </c>
      <c r="B241">
        <v>2E-3</v>
      </c>
      <c r="C241">
        <v>0</v>
      </c>
      <c r="D241">
        <v>2E-3</v>
      </c>
    </row>
    <row r="242" spans="1:4" x14ac:dyDescent="0.2">
      <c r="A242">
        <v>338</v>
      </c>
      <c r="B242">
        <v>2E-3</v>
      </c>
      <c r="C242">
        <v>0</v>
      </c>
      <c r="D242">
        <v>2E-3</v>
      </c>
    </row>
    <row r="243" spans="1:4" x14ac:dyDescent="0.2">
      <c r="A243">
        <v>339</v>
      </c>
      <c r="B243">
        <v>2E-3</v>
      </c>
      <c r="C243">
        <v>0</v>
      </c>
      <c r="D243">
        <v>2E-3</v>
      </c>
    </row>
    <row r="244" spans="1:4" x14ac:dyDescent="0.2">
      <c r="A244">
        <v>340</v>
      </c>
      <c r="B244">
        <v>1.9E-3</v>
      </c>
      <c r="C244">
        <v>0</v>
      </c>
      <c r="D244">
        <v>1.9E-3</v>
      </c>
    </row>
    <row r="245" spans="1:4" x14ac:dyDescent="0.2">
      <c r="A245">
        <v>341</v>
      </c>
      <c r="B245">
        <v>1.9E-3</v>
      </c>
      <c r="C245">
        <v>0</v>
      </c>
      <c r="D245">
        <v>1.9E-3</v>
      </c>
    </row>
    <row r="246" spans="1:4" x14ac:dyDescent="0.2">
      <c r="A246">
        <v>342</v>
      </c>
      <c r="B246">
        <v>1.9E-3</v>
      </c>
      <c r="C246">
        <v>0</v>
      </c>
      <c r="D246">
        <v>1.9E-3</v>
      </c>
    </row>
    <row r="247" spans="1:4" x14ac:dyDescent="0.2">
      <c r="A247">
        <v>343</v>
      </c>
      <c r="B247">
        <v>1.8E-3</v>
      </c>
      <c r="C247">
        <v>0</v>
      </c>
      <c r="D247">
        <v>1.8E-3</v>
      </c>
    </row>
    <row r="248" spans="1:4" x14ac:dyDescent="0.2">
      <c r="A248">
        <v>344</v>
      </c>
      <c r="B248">
        <v>1.8E-3</v>
      </c>
      <c r="C248">
        <v>0</v>
      </c>
      <c r="D248">
        <v>1.8E-3</v>
      </c>
    </row>
    <row r="249" spans="1:4" x14ac:dyDescent="0.2">
      <c r="A249">
        <v>345</v>
      </c>
      <c r="B249">
        <v>1.8E-3</v>
      </c>
      <c r="C249">
        <v>0</v>
      </c>
      <c r="D249">
        <v>1.8E-3</v>
      </c>
    </row>
    <row r="250" spans="1:4" x14ac:dyDescent="0.2">
      <c r="A250">
        <v>346</v>
      </c>
      <c r="B250">
        <v>1.8E-3</v>
      </c>
      <c r="C250">
        <v>0</v>
      </c>
      <c r="D250">
        <v>1.8E-3</v>
      </c>
    </row>
    <row r="251" spans="1:4" x14ac:dyDescent="0.2">
      <c r="A251">
        <v>347</v>
      </c>
      <c r="B251">
        <v>1.6999999999999999E-3</v>
      </c>
      <c r="C251">
        <v>0</v>
      </c>
      <c r="D251">
        <v>1.6999999999999999E-3</v>
      </c>
    </row>
    <row r="252" spans="1:4" x14ac:dyDescent="0.2">
      <c r="A252">
        <v>348</v>
      </c>
      <c r="B252">
        <v>1.6999999999999999E-3</v>
      </c>
      <c r="C252">
        <v>0</v>
      </c>
      <c r="D252">
        <v>1.6999999999999999E-3</v>
      </c>
    </row>
    <row r="253" spans="1:4" x14ac:dyDescent="0.2">
      <c r="A253">
        <v>349</v>
      </c>
      <c r="B253">
        <v>1.6999999999999999E-3</v>
      </c>
      <c r="C253">
        <v>0</v>
      </c>
      <c r="D253">
        <v>1.6999999999999999E-3</v>
      </c>
    </row>
    <row r="254" spans="1:4" x14ac:dyDescent="0.2">
      <c r="A254">
        <v>350</v>
      </c>
      <c r="B254">
        <v>1.6999999999999999E-3</v>
      </c>
      <c r="C254">
        <v>0</v>
      </c>
      <c r="D254">
        <v>1.6999999999999999E-3</v>
      </c>
    </row>
    <row r="255" spans="1:4" x14ac:dyDescent="0.2">
      <c r="A255">
        <v>351</v>
      </c>
      <c r="B255">
        <v>1.6000000000000001E-3</v>
      </c>
      <c r="C255">
        <v>0</v>
      </c>
      <c r="D255">
        <v>1.6000000000000001E-3</v>
      </c>
    </row>
    <row r="256" spans="1:4" x14ac:dyDescent="0.2">
      <c r="A256">
        <v>352</v>
      </c>
      <c r="B256">
        <v>1.6000000000000001E-3</v>
      </c>
      <c r="C256">
        <v>0</v>
      </c>
      <c r="D256">
        <v>1.6000000000000001E-3</v>
      </c>
    </row>
    <row r="257" spans="1:4" x14ac:dyDescent="0.2">
      <c r="A257">
        <v>353</v>
      </c>
      <c r="B257">
        <v>1.6000000000000001E-3</v>
      </c>
      <c r="C257">
        <v>0</v>
      </c>
      <c r="D257">
        <v>1.6000000000000001E-3</v>
      </c>
    </row>
    <row r="258" spans="1:4" x14ac:dyDescent="0.2">
      <c r="A258">
        <v>354</v>
      </c>
      <c r="B258">
        <v>1.6000000000000001E-3</v>
      </c>
      <c r="C258">
        <v>0</v>
      </c>
      <c r="D258">
        <v>1.6000000000000001E-3</v>
      </c>
    </row>
    <row r="259" spans="1:4" x14ac:dyDescent="0.2">
      <c r="A259">
        <v>355</v>
      </c>
      <c r="B259">
        <v>1.5E-3</v>
      </c>
      <c r="C259">
        <v>0</v>
      </c>
      <c r="D259">
        <v>1.5E-3</v>
      </c>
    </row>
    <row r="260" spans="1:4" x14ac:dyDescent="0.2">
      <c r="A260">
        <v>356</v>
      </c>
      <c r="B260">
        <v>1.5E-3</v>
      </c>
      <c r="C260">
        <v>0</v>
      </c>
      <c r="D260">
        <v>1.5E-3</v>
      </c>
    </row>
    <row r="261" spans="1:4" x14ac:dyDescent="0.2">
      <c r="A261">
        <v>357</v>
      </c>
      <c r="B261">
        <v>1.5E-3</v>
      </c>
      <c r="C261">
        <v>0</v>
      </c>
      <c r="D261">
        <v>1.5E-3</v>
      </c>
    </row>
    <row r="262" spans="1:4" x14ac:dyDescent="0.2">
      <c r="A262">
        <v>358</v>
      </c>
      <c r="B262">
        <v>1.5E-3</v>
      </c>
      <c r="C262">
        <v>0</v>
      </c>
      <c r="D262">
        <v>1.5E-3</v>
      </c>
    </row>
    <row r="263" spans="1:4" x14ac:dyDescent="0.2">
      <c r="A263">
        <v>359</v>
      </c>
      <c r="B263">
        <v>1.4E-3</v>
      </c>
      <c r="C263">
        <v>0</v>
      </c>
      <c r="D263">
        <v>1.4E-3</v>
      </c>
    </row>
    <row r="264" spans="1:4" x14ac:dyDescent="0.2">
      <c r="A264">
        <v>360</v>
      </c>
      <c r="B264">
        <v>1.4E-3</v>
      </c>
      <c r="C264">
        <v>0</v>
      </c>
      <c r="D264">
        <v>1.4E-3</v>
      </c>
    </row>
    <row r="265" spans="1:4" x14ac:dyDescent="0.2">
      <c r="A265">
        <v>361</v>
      </c>
      <c r="B265">
        <v>1.4E-3</v>
      </c>
      <c r="C265">
        <v>0</v>
      </c>
      <c r="D265">
        <v>1.4E-3</v>
      </c>
    </row>
    <row r="266" spans="1:4" x14ac:dyDescent="0.2">
      <c r="A266">
        <v>362</v>
      </c>
      <c r="B266">
        <v>1.4E-3</v>
      </c>
      <c r="C266">
        <v>0</v>
      </c>
      <c r="D266">
        <v>1.4E-3</v>
      </c>
    </row>
    <row r="267" spans="1:4" x14ac:dyDescent="0.2">
      <c r="A267">
        <v>363</v>
      </c>
      <c r="B267">
        <v>1.4E-3</v>
      </c>
      <c r="C267">
        <v>0</v>
      </c>
      <c r="D267">
        <v>1.4E-3</v>
      </c>
    </row>
    <row r="268" spans="1:4" x14ac:dyDescent="0.2">
      <c r="A268">
        <v>364</v>
      </c>
      <c r="B268">
        <v>1.2999999999999999E-3</v>
      </c>
      <c r="C268">
        <v>0</v>
      </c>
      <c r="D268">
        <v>1.2999999999999999E-3</v>
      </c>
    </row>
    <row r="269" spans="1:4" x14ac:dyDescent="0.2">
      <c r="A269">
        <v>365</v>
      </c>
      <c r="B269">
        <v>1.2999999999999999E-3</v>
      </c>
      <c r="C269">
        <v>0</v>
      </c>
      <c r="D269">
        <v>1.2999999999999999E-3</v>
      </c>
    </row>
    <row r="270" spans="1:4" x14ac:dyDescent="0.2">
      <c r="A270">
        <v>366</v>
      </c>
      <c r="B270">
        <v>1.2999999999999999E-3</v>
      </c>
      <c r="C270">
        <v>0</v>
      </c>
      <c r="D270">
        <v>1.2999999999999999E-3</v>
      </c>
    </row>
    <row r="271" spans="1:4" x14ac:dyDescent="0.2">
      <c r="A271">
        <v>367</v>
      </c>
      <c r="B271">
        <v>1.2999999999999999E-3</v>
      </c>
      <c r="C271">
        <v>0</v>
      </c>
      <c r="D271">
        <v>1.2999999999999999E-3</v>
      </c>
    </row>
    <row r="272" spans="1:4" x14ac:dyDescent="0.2">
      <c r="A272">
        <v>368</v>
      </c>
      <c r="B272">
        <v>1.2999999999999999E-3</v>
      </c>
      <c r="C272">
        <v>0</v>
      </c>
      <c r="D272">
        <v>1.2999999999999999E-3</v>
      </c>
    </row>
    <row r="273" spans="1:4" x14ac:dyDescent="0.2">
      <c r="A273">
        <v>369</v>
      </c>
      <c r="B273">
        <v>1.2999999999999999E-3</v>
      </c>
      <c r="C273">
        <v>0</v>
      </c>
      <c r="D273">
        <v>1.2999999999999999E-3</v>
      </c>
    </row>
    <row r="274" spans="1:4" x14ac:dyDescent="0.2">
      <c r="A274">
        <v>370</v>
      </c>
      <c r="B274">
        <v>1.2999999999999999E-3</v>
      </c>
      <c r="C274">
        <v>0</v>
      </c>
      <c r="D274">
        <v>1.2999999999999999E-3</v>
      </c>
    </row>
    <row r="275" spans="1:4" x14ac:dyDescent="0.2">
      <c r="A275">
        <v>371</v>
      </c>
      <c r="B275">
        <v>1.2999999999999999E-3</v>
      </c>
      <c r="C275">
        <v>0</v>
      </c>
      <c r="D275">
        <v>1.2999999999999999E-3</v>
      </c>
    </row>
    <row r="276" spans="1:4" x14ac:dyDescent="0.2">
      <c r="A276">
        <v>372</v>
      </c>
      <c r="B276">
        <v>1.2999999999999999E-3</v>
      </c>
      <c r="C276">
        <v>0</v>
      </c>
      <c r="D276">
        <v>1.2999999999999999E-3</v>
      </c>
    </row>
    <row r="277" spans="1:4" x14ac:dyDescent="0.2">
      <c r="A277">
        <v>373</v>
      </c>
      <c r="B277">
        <v>1.2999999999999999E-3</v>
      </c>
      <c r="C277">
        <v>0</v>
      </c>
      <c r="D277">
        <v>1.2999999999999999E-3</v>
      </c>
    </row>
    <row r="278" spans="1:4" x14ac:dyDescent="0.2">
      <c r="A278">
        <v>374</v>
      </c>
      <c r="B278">
        <v>1.2999999999999999E-3</v>
      </c>
      <c r="C278">
        <v>0</v>
      </c>
      <c r="D278">
        <v>1.2999999999999999E-3</v>
      </c>
    </row>
    <row r="279" spans="1:4" x14ac:dyDescent="0.2">
      <c r="A279">
        <v>375</v>
      </c>
      <c r="B279">
        <v>1.2999999999999999E-3</v>
      </c>
      <c r="C279">
        <v>0</v>
      </c>
      <c r="D279">
        <v>1.2999999999999999E-3</v>
      </c>
    </row>
    <row r="280" spans="1:4" x14ac:dyDescent="0.2">
      <c r="A280">
        <v>376</v>
      </c>
      <c r="B280">
        <v>1.2999999999999999E-3</v>
      </c>
      <c r="C280">
        <v>0</v>
      </c>
      <c r="D280">
        <v>1.2999999999999999E-3</v>
      </c>
    </row>
    <row r="281" spans="1:4" x14ac:dyDescent="0.2">
      <c r="A281">
        <v>377</v>
      </c>
      <c r="B281">
        <v>1.2999999999999999E-3</v>
      </c>
      <c r="C281">
        <v>0</v>
      </c>
      <c r="D281">
        <v>1.2999999999999999E-3</v>
      </c>
    </row>
    <row r="282" spans="1:4" x14ac:dyDescent="0.2">
      <c r="A282">
        <v>378</v>
      </c>
      <c r="B282">
        <v>1.2999999999999999E-3</v>
      </c>
      <c r="C282">
        <v>0</v>
      </c>
      <c r="D282">
        <v>1.2999999999999999E-3</v>
      </c>
    </row>
    <row r="283" spans="1:4" x14ac:dyDescent="0.2">
      <c r="A283">
        <v>379</v>
      </c>
      <c r="B283">
        <v>1.2999999999999999E-3</v>
      </c>
      <c r="C283">
        <v>0</v>
      </c>
      <c r="D283">
        <v>1.2999999999999999E-3</v>
      </c>
    </row>
    <row r="284" spans="1:4" x14ac:dyDescent="0.2">
      <c r="A284">
        <v>380</v>
      </c>
      <c r="B284">
        <v>1.2999999999999999E-3</v>
      </c>
      <c r="C284">
        <v>0</v>
      </c>
      <c r="D284">
        <v>1.2999999999999999E-3</v>
      </c>
    </row>
    <row r="285" spans="1:4" x14ac:dyDescent="0.2">
      <c r="A285">
        <v>381</v>
      </c>
      <c r="B285">
        <v>1.2999999999999999E-3</v>
      </c>
      <c r="C285">
        <v>0</v>
      </c>
      <c r="D285">
        <v>1.2999999999999999E-3</v>
      </c>
    </row>
    <row r="286" spans="1:4" x14ac:dyDescent="0.2">
      <c r="A286">
        <v>382</v>
      </c>
      <c r="B286">
        <v>1.2999999999999999E-3</v>
      </c>
      <c r="C286">
        <v>0</v>
      </c>
      <c r="D286">
        <v>1.2999999999999999E-3</v>
      </c>
    </row>
    <row r="287" spans="1:4" x14ac:dyDescent="0.2">
      <c r="A287">
        <v>383</v>
      </c>
      <c r="B287">
        <v>1.2999999999999999E-3</v>
      </c>
      <c r="C287">
        <v>0</v>
      </c>
      <c r="D287">
        <v>1.2999999999999999E-3</v>
      </c>
    </row>
    <row r="288" spans="1:4" x14ac:dyDescent="0.2">
      <c r="A288">
        <v>384</v>
      </c>
      <c r="B288">
        <v>1.2999999999999999E-3</v>
      </c>
      <c r="C288">
        <v>0</v>
      </c>
      <c r="D288">
        <v>1.2999999999999999E-3</v>
      </c>
    </row>
    <row r="289" spans="1:4" x14ac:dyDescent="0.2">
      <c r="A289">
        <v>385</v>
      </c>
      <c r="B289">
        <v>1.2999999999999999E-3</v>
      </c>
      <c r="C289">
        <v>0</v>
      </c>
      <c r="D289">
        <v>1.2999999999999999E-3</v>
      </c>
    </row>
    <row r="290" spans="1:4" x14ac:dyDescent="0.2">
      <c r="A290">
        <v>386</v>
      </c>
      <c r="B290">
        <v>1.2999999999999999E-3</v>
      </c>
      <c r="C290">
        <v>0</v>
      </c>
      <c r="D290">
        <v>1.2999999999999999E-3</v>
      </c>
    </row>
    <row r="291" spans="1:4" x14ac:dyDescent="0.2">
      <c r="A291">
        <v>387</v>
      </c>
      <c r="B291">
        <v>1.2999999999999999E-3</v>
      </c>
      <c r="C291">
        <v>0</v>
      </c>
      <c r="D291">
        <v>1.2999999999999999E-3</v>
      </c>
    </row>
    <row r="292" spans="1:4" x14ac:dyDescent="0.2">
      <c r="A292">
        <v>388</v>
      </c>
      <c r="B292">
        <v>1.2999999999999999E-3</v>
      </c>
      <c r="C292">
        <v>0</v>
      </c>
      <c r="D292">
        <v>1.2999999999999999E-3</v>
      </c>
    </row>
    <row r="293" spans="1:4" x14ac:dyDescent="0.2">
      <c r="A293">
        <v>389</v>
      </c>
      <c r="B293">
        <v>1.2999999999999999E-3</v>
      </c>
      <c r="C293">
        <v>0</v>
      </c>
      <c r="D293">
        <v>1.2999999999999999E-3</v>
      </c>
    </row>
    <row r="294" spans="1:4" x14ac:dyDescent="0.2">
      <c r="A294">
        <v>390</v>
      </c>
      <c r="B294">
        <v>1.2999999999999999E-3</v>
      </c>
      <c r="C294">
        <v>0</v>
      </c>
      <c r="D294">
        <v>1.2999999999999999E-3</v>
      </c>
    </row>
    <row r="295" spans="1:4" x14ac:dyDescent="0.2">
      <c r="A295">
        <v>391</v>
      </c>
      <c r="B295">
        <v>1.2999999999999999E-3</v>
      </c>
      <c r="C295">
        <v>0</v>
      </c>
      <c r="D295">
        <v>1.2999999999999999E-3</v>
      </c>
    </row>
    <row r="296" spans="1:4" x14ac:dyDescent="0.2">
      <c r="A296">
        <v>392</v>
      </c>
      <c r="B296">
        <v>1.2999999999999999E-3</v>
      </c>
      <c r="C296">
        <v>0</v>
      </c>
      <c r="D296">
        <v>1.2999999999999999E-3</v>
      </c>
    </row>
    <row r="297" spans="1:4" x14ac:dyDescent="0.2">
      <c r="A297">
        <v>393</v>
      </c>
      <c r="B297">
        <v>1.2999999999999999E-3</v>
      </c>
      <c r="C297">
        <v>0</v>
      </c>
      <c r="D297">
        <v>1.2999999999999999E-3</v>
      </c>
    </row>
    <row r="298" spans="1:4" x14ac:dyDescent="0.2">
      <c r="A298">
        <v>394</v>
      </c>
      <c r="B298">
        <v>1.2999999999999999E-3</v>
      </c>
      <c r="C298">
        <v>0</v>
      </c>
      <c r="D298">
        <v>1.2999999999999999E-3</v>
      </c>
    </row>
    <row r="299" spans="1:4" x14ac:dyDescent="0.2">
      <c r="A299">
        <v>395</v>
      </c>
      <c r="B299">
        <v>1.2999999999999999E-3</v>
      </c>
      <c r="C299">
        <v>0</v>
      </c>
      <c r="D299">
        <v>1.2999999999999999E-3</v>
      </c>
    </row>
    <row r="300" spans="1:4" x14ac:dyDescent="0.2">
      <c r="A300">
        <v>396</v>
      </c>
      <c r="B300">
        <v>1.2999999999999999E-3</v>
      </c>
      <c r="C300">
        <v>0</v>
      </c>
      <c r="D300">
        <v>1.2999999999999999E-3</v>
      </c>
    </row>
    <row r="301" spans="1:4" x14ac:dyDescent="0.2">
      <c r="A301">
        <v>397</v>
      </c>
      <c r="B301">
        <v>1.2999999999999999E-3</v>
      </c>
      <c r="C301">
        <v>0</v>
      </c>
      <c r="D301">
        <v>1.2999999999999999E-3</v>
      </c>
    </row>
    <row r="302" spans="1:4" x14ac:dyDescent="0.2">
      <c r="A302">
        <v>398</v>
      </c>
      <c r="B302">
        <v>1.2999999999999999E-3</v>
      </c>
      <c r="C302">
        <v>0</v>
      </c>
      <c r="D302">
        <v>1.2999999999999999E-3</v>
      </c>
    </row>
    <row r="303" spans="1:4" x14ac:dyDescent="0.2">
      <c r="A303">
        <v>399</v>
      </c>
      <c r="B303">
        <v>1.2999999999999999E-3</v>
      </c>
      <c r="C303">
        <v>0</v>
      </c>
      <c r="D303">
        <v>1.2999999999999999E-3</v>
      </c>
    </row>
    <row r="304" spans="1:4" x14ac:dyDescent="0.2">
      <c r="A304">
        <v>400</v>
      </c>
      <c r="B304">
        <v>1.2999999999999999E-3</v>
      </c>
      <c r="C304">
        <v>0</v>
      </c>
      <c r="D304">
        <v>1.2999999999999999E-3</v>
      </c>
    </row>
    <row r="305" spans="1:4" x14ac:dyDescent="0.2">
      <c r="A305">
        <v>401</v>
      </c>
      <c r="B305">
        <v>1.2999999999999999E-3</v>
      </c>
      <c r="C305">
        <v>0</v>
      </c>
      <c r="D305">
        <v>1.2999999999999999E-3</v>
      </c>
    </row>
    <row r="306" spans="1:4" x14ac:dyDescent="0.2">
      <c r="A306">
        <v>402</v>
      </c>
      <c r="B306">
        <v>1.2999999999999999E-3</v>
      </c>
      <c r="C306">
        <v>0</v>
      </c>
      <c r="D306">
        <v>1.2999999999999999E-3</v>
      </c>
    </row>
    <row r="307" spans="1:4" x14ac:dyDescent="0.2">
      <c r="A307">
        <v>403</v>
      </c>
      <c r="B307">
        <v>1.2999999999999999E-3</v>
      </c>
      <c r="C307">
        <v>0</v>
      </c>
      <c r="D307">
        <v>1.2999999999999999E-3</v>
      </c>
    </row>
    <row r="308" spans="1:4" x14ac:dyDescent="0.2">
      <c r="A308">
        <v>404</v>
      </c>
      <c r="B308">
        <v>1.2999999999999999E-3</v>
      </c>
      <c r="C308">
        <v>0</v>
      </c>
      <c r="D308">
        <v>1.2999999999999999E-3</v>
      </c>
    </row>
    <row r="309" spans="1:4" x14ac:dyDescent="0.2">
      <c r="A309">
        <v>405</v>
      </c>
      <c r="B309">
        <v>1.2999999999999999E-3</v>
      </c>
      <c r="C309">
        <v>0</v>
      </c>
      <c r="D309">
        <v>1.2999999999999999E-3</v>
      </c>
    </row>
    <row r="310" spans="1:4" x14ac:dyDescent="0.2">
      <c r="A310">
        <v>406</v>
      </c>
      <c r="B310">
        <v>1.2999999999999999E-3</v>
      </c>
      <c r="C310">
        <v>0</v>
      </c>
      <c r="D310">
        <v>1.2999999999999999E-3</v>
      </c>
    </row>
    <row r="311" spans="1:4" x14ac:dyDescent="0.2">
      <c r="A311">
        <v>407</v>
      </c>
      <c r="B311">
        <v>1.2999999999999999E-3</v>
      </c>
      <c r="C311">
        <v>0</v>
      </c>
      <c r="D311">
        <v>1.2999999999999999E-3</v>
      </c>
    </row>
    <row r="312" spans="1:4" x14ac:dyDescent="0.2">
      <c r="A312">
        <v>408</v>
      </c>
      <c r="B312">
        <v>1.2999999999999999E-3</v>
      </c>
      <c r="C312">
        <v>0</v>
      </c>
      <c r="D312">
        <v>1.2999999999999999E-3</v>
      </c>
    </row>
    <row r="313" spans="1:4" x14ac:dyDescent="0.2">
      <c r="A313">
        <v>409</v>
      </c>
      <c r="B313">
        <v>1.2999999999999999E-3</v>
      </c>
      <c r="C313">
        <v>0</v>
      </c>
      <c r="D313">
        <v>1.2999999999999999E-3</v>
      </c>
    </row>
    <row r="314" spans="1:4" x14ac:dyDescent="0.2">
      <c r="A314">
        <v>410</v>
      </c>
      <c r="B314">
        <v>1.2999999999999999E-3</v>
      </c>
      <c r="C314">
        <v>0</v>
      </c>
      <c r="D314">
        <v>1.2999999999999999E-3</v>
      </c>
    </row>
    <row r="315" spans="1:4" x14ac:dyDescent="0.2">
      <c r="A315">
        <v>411</v>
      </c>
      <c r="B315">
        <v>1.2999999999999999E-3</v>
      </c>
      <c r="C315">
        <v>0</v>
      </c>
      <c r="D315">
        <v>1.2999999999999999E-3</v>
      </c>
    </row>
    <row r="316" spans="1:4" x14ac:dyDescent="0.2">
      <c r="A316">
        <v>412</v>
      </c>
      <c r="B316">
        <v>1.2999999999999999E-3</v>
      </c>
      <c r="C316">
        <v>0</v>
      </c>
      <c r="D316">
        <v>1.2999999999999999E-3</v>
      </c>
    </row>
    <row r="317" spans="1:4" x14ac:dyDescent="0.2">
      <c r="A317">
        <v>413</v>
      </c>
      <c r="B317">
        <v>1.2999999999999999E-3</v>
      </c>
      <c r="C317">
        <v>0</v>
      </c>
      <c r="D317">
        <v>1.2999999999999999E-3</v>
      </c>
    </row>
    <row r="318" spans="1:4" x14ac:dyDescent="0.2">
      <c r="A318">
        <v>414</v>
      </c>
      <c r="B318">
        <v>1.2999999999999999E-3</v>
      </c>
      <c r="C318">
        <v>0</v>
      </c>
      <c r="D318">
        <v>1.2999999999999999E-3</v>
      </c>
    </row>
    <row r="319" spans="1:4" x14ac:dyDescent="0.2">
      <c r="A319">
        <v>415</v>
      </c>
      <c r="B319">
        <v>1.2999999999999999E-3</v>
      </c>
      <c r="C319">
        <v>0</v>
      </c>
      <c r="D319">
        <v>1.2999999999999999E-3</v>
      </c>
    </row>
    <row r="320" spans="1:4" x14ac:dyDescent="0.2">
      <c r="A320">
        <v>416</v>
      </c>
      <c r="B320">
        <v>1.2999999999999999E-3</v>
      </c>
      <c r="C320">
        <v>0</v>
      </c>
      <c r="D320">
        <v>1.2999999999999999E-3</v>
      </c>
    </row>
    <row r="321" spans="1:4" x14ac:dyDescent="0.2">
      <c r="A321">
        <v>417</v>
      </c>
      <c r="B321">
        <v>1.2999999999999999E-3</v>
      </c>
      <c r="C321">
        <v>0</v>
      </c>
      <c r="D321">
        <v>1.2999999999999999E-3</v>
      </c>
    </row>
    <row r="322" spans="1:4" x14ac:dyDescent="0.2">
      <c r="A322">
        <v>418</v>
      </c>
      <c r="B322">
        <v>1.2999999999999999E-3</v>
      </c>
      <c r="C322">
        <v>0</v>
      </c>
      <c r="D322">
        <v>1.2999999999999999E-3</v>
      </c>
    </row>
    <row r="323" spans="1:4" x14ac:dyDescent="0.2">
      <c r="A323">
        <v>419</v>
      </c>
      <c r="B323">
        <v>1.2999999999999999E-3</v>
      </c>
      <c r="C323">
        <v>0</v>
      </c>
      <c r="D323">
        <v>1.2999999999999999E-3</v>
      </c>
    </row>
    <row r="324" spans="1:4" x14ac:dyDescent="0.2">
      <c r="A324">
        <v>420</v>
      </c>
      <c r="B324">
        <v>1.1999999999999999E-3</v>
      </c>
      <c r="C324">
        <v>0</v>
      </c>
      <c r="D324">
        <v>1.1999999999999999E-3</v>
      </c>
    </row>
    <row r="325" spans="1:4" x14ac:dyDescent="0.2">
      <c r="A325">
        <v>421</v>
      </c>
      <c r="B325">
        <v>1.1999999999999999E-3</v>
      </c>
      <c r="C325">
        <v>0</v>
      </c>
      <c r="D325">
        <v>1.1999999999999999E-3</v>
      </c>
    </row>
    <row r="326" spans="1:4" x14ac:dyDescent="0.2">
      <c r="A326">
        <v>422</v>
      </c>
      <c r="B326">
        <v>1.1999999999999999E-3</v>
      </c>
      <c r="C326">
        <v>0</v>
      </c>
      <c r="D326">
        <v>1.1999999999999999E-3</v>
      </c>
    </row>
    <row r="327" spans="1:4" x14ac:dyDescent="0.2">
      <c r="A327">
        <v>423</v>
      </c>
      <c r="B327">
        <v>1.1999999999999999E-3</v>
      </c>
      <c r="C327">
        <v>0</v>
      </c>
      <c r="D327">
        <v>1.1999999999999999E-3</v>
      </c>
    </row>
    <row r="328" spans="1:4" x14ac:dyDescent="0.2">
      <c r="A328">
        <v>424</v>
      </c>
      <c r="B328">
        <v>1.1999999999999999E-3</v>
      </c>
      <c r="C328">
        <v>0</v>
      </c>
      <c r="D328">
        <v>1.1999999999999999E-3</v>
      </c>
    </row>
    <row r="329" spans="1:4" x14ac:dyDescent="0.2">
      <c r="A329">
        <v>425</v>
      </c>
      <c r="B329">
        <v>1.1999999999999999E-3</v>
      </c>
      <c r="C329">
        <v>0</v>
      </c>
      <c r="D329">
        <v>1.1999999999999999E-3</v>
      </c>
    </row>
    <row r="330" spans="1:4" x14ac:dyDescent="0.2">
      <c r="A330">
        <v>426</v>
      </c>
      <c r="B330">
        <v>1.1999999999999999E-3</v>
      </c>
      <c r="C330">
        <v>0</v>
      </c>
      <c r="D330">
        <v>1.1999999999999999E-3</v>
      </c>
    </row>
    <row r="331" spans="1:4" x14ac:dyDescent="0.2">
      <c r="A331">
        <v>427</v>
      </c>
      <c r="B331">
        <v>1.1999999999999999E-3</v>
      </c>
      <c r="C331">
        <v>0</v>
      </c>
      <c r="D331">
        <v>1.1999999999999999E-3</v>
      </c>
    </row>
    <row r="332" spans="1:4" x14ac:dyDescent="0.2">
      <c r="A332">
        <v>428</v>
      </c>
      <c r="B332">
        <v>1.1999999999999999E-3</v>
      </c>
      <c r="C332">
        <v>0</v>
      </c>
      <c r="D332">
        <v>1.1999999999999999E-3</v>
      </c>
    </row>
    <row r="333" spans="1:4" x14ac:dyDescent="0.2">
      <c r="A333">
        <v>429</v>
      </c>
      <c r="B333">
        <v>1.1999999999999999E-3</v>
      </c>
      <c r="C333">
        <v>0</v>
      </c>
      <c r="D333">
        <v>1.1999999999999999E-3</v>
      </c>
    </row>
    <row r="334" spans="1:4" x14ac:dyDescent="0.2">
      <c r="A334">
        <v>430</v>
      </c>
      <c r="B334">
        <v>1.1999999999999999E-3</v>
      </c>
      <c r="C334">
        <v>0</v>
      </c>
      <c r="D334">
        <v>1.1999999999999999E-3</v>
      </c>
    </row>
    <row r="335" spans="1:4" x14ac:dyDescent="0.2">
      <c r="A335">
        <v>431</v>
      </c>
      <c r="B335">
        <v>1.1999999999999999E-3</v>
      </c>
      <c r="C335">
        <v>0</v>
      </c>
      <c r="D335">
        <v>1.1999999999999999E-3</v>
      </c>
    </row>
    <row r="336" spans="1:4" x14ac:dyDescent="0.2">
      <c r="A336">
        <v>432</v>
      </c>
      <c r="B336">
        <v>1.1999999999999999E-3</v>
      </c>
      <c r="C336">
        <v>0</v>
      </c>
      <c r="D336">
        <v>1.1999999999999999E-3</v>
      </c>
    </row>
    <row r="337" spans="1:4" x14ac:dyDescent="0.2">
      <c r="A337">
        <v>433</v>
      </c>
      <c r="B337">
        <v>1.1999999999999999E-3</v>
      </c>
      <c r="C337">
        <v>0</v>
      </c>
      <c r="D337">
        <v>1.1999999999999999E-3</v>
      </c>
    </row>
    <row r="338" spans="1:4" x14ac:dyDescent="0.2">
      <c r="A338">
        <v>434</v>
      </c>
      <c r="B338">
        <v>1.1999999999999999E-3</v>
      </c>
      <c r="C338">
        <v>0</v>
      </c>
      <c r="D338">
        <v>1.1999999999999999E-3</v>
      </c>
    </row>
    <row r="339" spans="1:4" x14ac:dyDescent="0.2">
      <c r="A339">
        <v>435</v>
      </c>
      <c r="B339">
        <v>1.1999999999999999E-3</v>
      </c>
      <c r="C339">
        <v>0</v>
      </c>
      <c r="D339">
        <v>1.1999999999999999E-3</v>
      </c>
    </row>
    <row r="340" spans="1:4" x14ac:dyDescent="0.2">
      <c r="A340">
        <v>436</v>
      </c>
      <c r="B340">
        <v>1.1999999999999999E-3</v>
      </c>
      <c r="C340">
        <v>0</v>
      </c>
      <c r="D340">
        <v>1.1999999999999999E-3</v>
      </c>
    </row>
    <row r="341" spans="1:4" x14ac:dyDescent="0.2">
      <c r="A341">
        <v>437</v>
      </c>
      <c r="B341">
        <v>1.1999999999999999E-3</v>
      </c>
      <c r="C341">
        <v>0</v>
      </c>
      <c r="D341">
        <v>1.1999999999999999E-3</v>
      </c>
    </row>
    <row r="342" spans="1:4" x14ac:dyDescent="0.2">
      <c r="A342">
        <v>438</v>
      </c>
      <c r="B342">
        <v>1.1999999999999999E-3</v>
      </c>
      <c r="C342">
        <v>0</v>
      </c>
      <c r="D342">
        <v>1.1999999999999999E-3</v>
      </c>
    </row>
    <row r="343" spans="1:4" x14ac:dyDescent="0.2">
      <c r="A343">
        <v>439</v>
      </c>
      <c r="B343">
        <v>1.1999999999999999E-3</v>
      </c>
      <c r="C343">
        <v>0</v>
      </c>
      <c r="D343">
        <v>1.1999999999999999E-3</v>
      </c>
    </row>
    <row r="344" spans="1:4" x14ac:dyDescent="0.2">
      <c r="A344">
        <v>440</v>
      </c>
      <c r="B344">
        <v>1.1000000000000001E-3</v>
      </c>
      <c r="C344">
        <v>0</v>
      </c>
      <c r="D344">
        <v>1.1000000000000001E-3</v>
      </c>
    </row>
    <row r="345" spans="1:4" x14ac:dyDescent="0.2">
      <c r="A345">
        <v>441</v>
      </c>
      <c r="B345">
        <v>1.1000000000000001E-3</v>
      </c>
      <c r="C345">
        <v>0</v>
      </c>
      <c r="D345">
        <v>1.1000000000000001E-3</v>
      </c>
    </row>
    <row r="346" spans="1:4" x14ac:dyDescent="0.2">
      <c r="A346">
        <v>442</v>
      </c>
      <c r="B346">
        <v>1.1000000000000001E-3</v>
      </c>
      <c r="C346">
        <v>0</v>
      </c>
      <c r="D346">
        <v>1.1000000000000001E-3</v>
      </c>
    </row>
    <row r="347" spans="1:4" x14ac:dyDescent="0.2">
      <c r="A347">
        <v>443</v>
      </c>
      <c r="B347">
        <v>1.1000000000000001E-3</v>
      </c>
      <c r="C347">
        <v>0</v>
      </c>
      <c r="D347">
        <v>1.1000000000000001E-3</v>
      </c>
    </row>
    <row r="348" spans="1:4" x14ac:dyDescent="0.2">
      <c r="A348">
        <v>444</v>
      </c>
      <c r="B348">
        <v>1.1000000000000001E-3</v>
      </c>
      <c r="C348">
        <v>0</v>
      </c>
      <c r="D348">
        <v>1.1000000000000001E-3</v>
      </c>
    </row>
    <row r="349" spans="1:4" x14ac:dyDescent="0.2">
      <c r="A349">
        <v>445</v>
      </c>
      <c r="B349">
        <v>1.1000000000000001E-3</v>
      </c>
      <c r="C349">
        <v>0</v>
      </c>
      <c r="D349">
        <v>1.1000000000000001E-3</v>
      </c>
    </row>
    <row r="350" spans="1:4" x14ac:dyDescent="0.2">
      <c r="A350">
        <v>446</v>
      </c>
      <c r="B350">
        <v>1.1000000000000001E-3</v>
      </c>
      <c r="C350">
        <v>0</v>
      </c>
      <c r="D350">
        <v>1.1000000000000001E-3</v>
      </c>
    </row>
    <row r="351" spans="1:4" x14ac:dyDescent="0.2">
      <c r="A351">
        <v>447</v>
      </c>
      <c r="B351">
        <v>1.1000000000000001E-3</v>
      </c>
      <c r="C351">
        <v>0</v>
      </c>
      <c r="D351">
        <v>1.1000000000000001E-3</v>
      </c>
    </row>
    <row r="352" spans="1:4" x14ac:dyDescent="0.2">
      <c r="A352">
        <v>448</v>
      </c>
      <c r="B352">
        <v>1.1000000000000001E-3</v>
      </c>
      <c r="C352">
        <v>0</v>
      </c>
      <c r="D352">
        <v>1.1000000000000001E-3</v>
      </c>
    </row>
    <row r="353" spans="1:4" x14ac:dyDescent="0.2">
      <c r="A353">
        <v>449</v>
      </c>
      <c r="B353">
        <v>1.1000000000000001E-3</v>
      </c>
      <c r="C353">
        <v>0</v>
      </c>
      <c r="D353">
        <v>1.1000000000000001E-3</v>
      </c>
    </row>
    <row r="354" spans="1:4" x14ac:dyDescent="0.2">
      <c r="A354">
        <v>450</v>
      </c>
      <c r="B354">
        <v>1.1000000000000001E-3</v>
      </c>
      <c r="C354">
        <v>0</v>
      </c>
      <c r="D354">
        <v>1.1000000000000001E-3</v>
      </c>
    </row>
    <row r="355" spans="1:4" x14ac:dyDescent="0.2">
      <c r="A355">
        <v>451</v>
      </c>
      <c r="B355">
        <v>1.1000000000000001E-3</v>
      </c>
      <c r="C355">
        <v>0</v>
      </c>
      <c r="D355">
        <v>1.1000000000000001E-3</v>
      </c>
    </row>
    <row r="356" spans="1:4" x14ac:dyDescent="0.2">
      <c r="A356">
        <v>452</v>
      </c>
      <c r="B356">
        <v>1.1000000000000001E-3</v>
      </c>
      <c r="C356">
        <v>0</v>
      </c>
      <c r="D356">
        <v>1.1000000000000001E-3</v>
      </c>
    </row>
    <row r="357" spans="1:4" x14ac:dyDescent="0.2">
      <c r="A357">
        <v>453</v>
      </c>
      <c r="B357">
        <v>1.1000000000000001E-3</v>
      </c>
      <c r="C357">
        <v>0</v>
      </c>
      <c r="D357">
        <v>1.1000000000000001E-3</v>
      </c>
    </row>
    <row r="358" spans="1:4" x14ac:dyDescent="0.2">
      <c r="A358">
        <v>454</v>
      </c>
      <c r="B358">
        <v>1.1000000000000001E-3</v>
      </c>
      <c r="C358">
        <v>0</v>
      </c>
      <c r="D358">
        <v>1.1000000000000001E-3</v>
      </c>
    </row>
    <row r="359" spans="1:4" x14ac:dyDescent="0.2">
      <c r="A359">
        <v>455</v>
      </c>
      <c r="B359">
        <v>1.1000000000000001E-3</v>
      </c>
      <c r="C359">
        <v>0</v>
      </c>
      <c r="D359">
        <v>1.1000000000000001E-3</v>
      </c>
    </row>
    <row r="360" spans="1:4" x14ac:dyDescent="0.2">
      <c r="A360">
        <v>456</v>
      </c>
      <c r="B360">
        <v>1.1000000000000001E-3</v>
      </c>
      <c r="C360">
        <v>0</v>
      </c>
      <c r="D360">
        <v>1.1000000000000001E-3</v>
      </c>
    </row>
    <row r="361" spans="1:4" x14ac:dyDescent="0.2">
      <c r="A361">
        <v>457</v>
      </c>
      <c r="B361">
        <v>1.1000000000000001E-3</v>
      </c>
      <c r="C361">
        <v>0</v>
      </c>
      <c r="D361">
        <v>1.1000000000000001E-3</v>
      </c>
    </row>
    <row r="362" spans="1:4" x14ac:dyDescent="0.2">
      <c r="A362">
        <v>458</v>
      </c>
      <c r="B362">
        <v>1.1000000000000001E-3</v>
      </c>
      <c r="C362">
        <v>0</v>
      </c>
      <c r="D362">
        <v>1.1000000000000001E-3</v>
      </c>
    </row>
    <row r="363" spans="1:4" x14ac:dyDescent="0.2">
      <c r="A363">
        <v>459</v>
      </c>
      <c r="B363">
        <v>1.1000000000000001E-3</v>
      </c>
      <c r="C363">
        <v>0</v>
      </c>
      <c r="D363">
        <v>1.1000000000000001E-3</v>
      </c>
    </row>
    <row r="364" spans="1:4" x14ac:dyDescent="0.2">
      <c r="A364">
        <v>460</v>
      </c>
      <c r="B364">
        <v>1.1000000000000001E-3</v>
      </c>
      <c r="C364">
        <v>0</v>
      </c>
      <c r="D364">
        <v>1.1000000000000001E-3</v>
      </c>
    </row>
    <row r="365" spans="1:4" x14ac:dyDescent="0.2">
      <c r="A365">
        <v>461</v>
      </c>
      <c r="B365">
        <v>1.1000000000000001E-3</v>
      </c>
      <c r="C365">
        <v>0</v>
      </c>
      <c r="D365">
        <v>1.1000000000000001E-3</v>
      </c>
    </row>
    <row r="366" spans="1:4" x14ac:dyDescent="0.2">
      <c r="A366">
        <v>462</v>
      </c>
      <c r="B366">
        <v>1.1000000000000001E-3</v>
      </c>
      <c r="C366">
        <v>0</v>
      </c>
      <c r="D366">
        <v>1.1000000000000001E-3</v>
      </c>
    </row>
    <row r="367" spans="1:4" x14ac:dyDescent="0.2">
      <c r="A367">
        <v>463</v>
      </c>
      <c r="B367">
        <v>1.1000000000000001E-3</v>
      </c>
      <c r="C367">
        <v>0</v>
      </c>
      <c r="D367">
        <v>1.1000000000000001E-3</v>
      </c>
    </row>
    <row r="368" spans="1:4" x14ac:dyDescent="0.2">
      <c r="A368">
        <v>464</v>
      </c>
      <c r="B368">
        <v>1.1000000000000001E-3</v>
      </c>
      <c r="C368">
        <v>0</v>
      </c>
      <c r="D368">
        <v>1.1000000000000001E-3</v>
      </c>
    </row>
    <row r="369" spans="1:4" x14ac:dyDescent="0.2">
      <c r="A369">
        <v>465</v>
      </c>
      <c r="B369">
        <v>1E-3</v>
      </c>
      <c r="C369">
        <v>0</v>
      </c>
      <c r="D369">
        <v>1E-3</v>
      </c>
    </row>
    <row r="370" spans="1:4" x14ac:dyDescent="0.2">
      <c r="A370">
        <v>466</v>
      </c>
      <c r="B370">
        <v>1E-3</v>
      </c>
      <c r="C370">
        <v>0</v>
      </c>
      <c r="D370">
        <v>1E-3</v>
      </c>
    </row>
    <row r="371" spans="1:4" x14ac:dyDescent="0.2">
      <c r="A371">
        <v>467</v>
      </c>
      <c r="B371">
        <v>1E-3</v>
      </c>
      <c r="C371">
        <v>0</v>
      </c>
      <c r="D371">
        <v>1E-3</v>
      </c>
    </row>
    <row r="372" spans="1:4" x14ac:dyDescent="0.2">
      <c r="A372">
        <v>468</v>
      </c>
      <c r="B372">
        <v>1E-3</v>
      </c>
      <c r="C372">
        <v>0</v>
      </c>
      <c r="D372">
        <v>1E-3</v>
      </c>
    </row>
    <row r="373" spans="1:4" x14ac:dyDescent="0.2">
      <c r="A373">
        <v>469</v>
      </c>
      <c r="B373">
        <v>1E-3</v>
      </c>
      <c r="C373">
        <v>0</v>
      </c>
      <c r="D373">
        <v>1E-3</v>
      </c>
    </row>
    <row r="374" spans="1:4" x14ac:dyDescent="0.2">
      <c r="A374">
        <v>470</v>
      </c>
      <c r="B374">
        <v>1E-3</v>
      </c>
      <c r="C374">
        <v>0</v>
      </c>
      <c r="D374">
        <v>1E-3</v>
      </c>
    </row>
    <row r="375" spans="1:4" x14ac:dyDescent="0.2">
      <c r="A375">
        <v>471</v>
      </c>
      <c r="B375">
        <v>1E-3</v>
      </c>
      <c r="C375">
        <v>0</v>
      </c>
      <c r="D375">
        <v>1E-3</v>
      </c>
    </row>
    <row r="376" spans="1:4" x14ac:dyDescent="0.2">
      <c r="A376">
        <v>472</v>
      </c>
      <c r="B376">
        <v>1E-3</v>
      </c>
      <c r="C376">
        <v>0</v>
      </c>
      <c r="D376">
        <v>1E-3</v>
      </c>
    </row>
    <row r="377" spans="1:4" x14ac:dyDescent="0.2">
      <c r="A377">
        <v>473</v>
      </c>
      <c r="B377">
        <v>1E-3</v>
      </c>
      <c r="C377">
        <v>0</v>
      </c>
      <c r="D377">
        <v>1E-3</v>
      </c>
    </row>
    <row r="378" spans="1:4" x14ac:dyDescent="0.2">
      <c r="A378">
        <v>474</v>
      </c>
      <c r="B378">
        <v>1E-3</v>
      </c>
      <c r="C378">
        <v>0</v>
      </c>
      <c r="D378">
        <v>1E-3</v>
      </c>
    </row>
    <row r="379" spans="1:4" x14ac:dyDescent="0.2">
      <c r="A379">
        <v>475</v>
      </c>
      <c r="B379">
        <v>1E-3</v>
      </c>
      <c r="C379">
        <v>0</v>
      </c>
      <c r="D379">
        <v>1E-3</v>
      </c>
    </row>
    <row r="380" spans="1:4" x14ac:dyDescent="0.2">
      <c r="A380">
        <v>476</v>
      </c>
      <c r="B380">
        <v>1E-3</v>
      </c>
      <c r="C380">
        <v>0</v>
      </c>
      <c r="D380">
        <v>1E-3</v>
      </c>
    </row>
    <row r="381" spans="1:4" x14ac:dyDescent="0.2">
      <c r="A381">
        <v>477</v>
      </c>
      <c r="B381">
        <v>1E-3</v>
      </c>
      <c r="C381">
        <v>0</v>
      </c>
      <c r="D381">
        <v>1E-3</v>
      </c>
    </row>
    <row r="382" spans="1:4" x14ac:dyDescent="0.2">
      <c r="A382">
        <v>478</v>
      </c>
      <c r="B382">
        <v>1E-3</v>
      </c>
      <c r="C382">
        <v>0</v>
      </c>
      <c r="D382">
        <v>1E-3</v>
      </c>
    </row>
    <row r="383" spans="1:4" x14ac:dyDescent="0.2">
      <c r="A383">
        <v>479</v>
      </c>
      <c r="B383">
        <v>1E-3</v>
      </c>
      <c r="C383">
        <v>0</v>
      </c>
      <c r="D383">
        <v>1E-3</v>
      </c>
    </row>
    <row r="384" spans="1:4" x14ac:dyDescent="0.2">
      <c r="A384">
        <v>480</v>
      </c>
      <c r="B384">
        <v>1E-3</v>
      </c>
      <c r="C384">
        <v>0</v>
      </c>
      <c r="D384">
        <v>1E-3</v>
      </c>
    </row>
    <row r="385" spans="1:4" x14ac:dyDescent="0.2">
      <c r="A385">
        <v>481</v>
      </c>
      <c r="B385">
        <v>1E-3</v>
      </c>
      <c r="C385">
        <v>0</v>
      </c>
      <c r="D385">
        <v>1E-3</v>
      </c>
    </row>
    <row r="386" spans="1:4" x14ac:dyDescent="0.2">
      <c r="A386">
        <v>482</v>
      </c>
      <c r="B386">
        <v>1E-3</v>
      </c>
      <c r="C386">
        <v>0</v>
      </c>
      <c r="D386">
        <v>1E-3</v>
      </c>
    </row>
    <row r="387" spans="1:4" x14ac:dyDescent="0.2">
      <c r="A387">
        <v>483</v>
      </c>
      <c r="B387">
        <v>1E-3</v>
      </c>
      <c r="C387">
        <v>0</v>
      </c>
      <c r="D387">
        <v>1E-3</v>
      </c>
    </row>
    <row r="388" spans="1:4" x14ac:dyDescent="0.2">
      <c r="A388">
        <v>484</v>
      </c>
      <c r="B388">
        <v>1E-3</v>
      </c>
      <c r="C388">
        <v>0</v>
      </c>
      <c r="D388">
        <v>1E-3</v>
      </c>
    </row>
    <row r="389" spans="1:4" x14ac:dyDescent="0.2">
      <c r="A389">
        <v>485</v>
      </c>
      <c r="B389">
        <v>1E-3</v>
      </c>
      <c r="C389">
        <v>0</v>
      </c>
      <c r="D389">
        <v>1E-3</v>
      </c>
    </row>
    <row r="390" spans="1:4" x14ac:dyDescent="0.2">
      <c r="A390">
        <v>486</v>
      </c>
      <c r="B390">
        <v>1E-3</v>
      </c>
      <c r="C390">
        <v>0</v>
      </c>
      <c r="D390">
        <v>1E-3</v>
      </c>
    </row>
    <row r="391" spans="1:4" x14ac:dyDescent="0.2">
      <c r="A391">
        <v>487</v>
      </c>
      <c r="B391">
        <v>1E-3</v>
      </c>
      <c r="C391">
        <v>0</v>
      </c>
      <c r="D391">
        <v>1E-3</v>
      </c>
    </row>
    <row r="392" spans="1:4" x14ac:dyDescent="0.2">
      <c r="A392">
        <v>488</v>
      </c>
      <c r="B392">
        <v>1E-3</v>
      </c>
      <c r="C392">
        <v>0</v>
      </c>
      <c r="D392">
        <v>1E-3</v>
      </c>
    </row>
    <row r="393" spans="1:4" x14ac:dyDescent="0.2">
      <c r="A393">
        <v>489</v>
      </c>
      <c r="B393">
        <v>1E-3</v>
      </c>
      <c r="C393">
        <v>0</v>
      </c>
      <c r="D393">
        <v>1E-3</v>
      </c>
    </row>
    <row r="394" spans="1:4" x14ac:dyDescent="0.2">
      <c r="A394">
        <v>490</v>
      </c>
      <c r="B394">
        <v>1E-3</v>
      </c>
      <c r="C394">
        <v>0</v>
      </c>
      <c r="D394">
        <v>1E-3</v>
      </c>
    </row>
    <row r="395" spans="1:4" x14ac:dyDescent="0.2">
      <c r="A395">
        <v>491</v>
      </c>
      <c r="B395">
        <v>1E-3</v>
      </c>
      <c r="C395">
        <v>0</v>
      </c>
      <c r="D395">
        <v>1E-3</v>
      </c>
    </row>
    <row r="396" spans="1:4" x14ac:dyDescent="0.2">
      <c r="A396">
        <v>492</v>
      </c>
      <c r="B396">
        <v>1E-3</v>
      </c>
      <c r="C396">
        <v>0</v>
      </c>
      <c r="D396">
        <v>1E-3</v>
      </c>
    </row>
    <row r="397" spans="1:4" x14ac:dyDescent="0.2">
      <c r="A397">
        <v>493</v>
      </c>
      <c r="B397">
        <v>1E-3</v>
      </c>
      <c r="C397">
        <v>0</v>
      </c>
      <c r="D397">
        <v>1E-3</v>
      </c>
    </row>
    <row r="398" spans="1:4" x14ac:dyDescent="0.2">
      <c r="A398">
        <v>494</v>
      </c>
      <c r="B398">
        <v>1E-3</v>
      </c>
      <c r="C398">
        <v>0</v>
      </c>
      <c r="D398">
        <v>1E-3</v>
      </c>
    </row>
    <row r="399" spans="1:4" x14ac:dyDescent="0.2">
      <c r="A399">
        <v>495</v>
      </c>
      <c r="B399">
        <v>1E-3</v>
      </c>
      <c r="C399">
        <v>0</v>
      </c>
      <c r="D399">
        <v>1E-3</v>
      </c>
    </row>
    <row r="400" spans="1:4" x14ac:dyDescent="0.2">
      <c r="A400">
        <v>496</v>
      </c>
      <c r="B400">
        <v>1E-3</v>
      </c>
      <c r="C400">
        <v>0</v>
      </c>
      <c r="D400">
        <v>1E-3</v>
      </c>
    </row>
    <row r="401" spans="1:4" x14ac:dyDescent="0.2">
      <c r="A401">
        <v>497</v>
      </c>
      <c r="B401">
        <v>1E-3</v>
      </c>
      <c r="C401">
        <v>0</v>
      </c>
      <c r="D401">
        <v>1E-3</v>
      </c>
    </row>
    <row r="402" spans="1:4" x14ac:dyDescent="0.2">
      <c r="A402">
        <v>498</v>
      </c>
      <c r="B402">
        <v>1E-3</v>
      </c>
      <c r="C402">
        <v>0</v>
      </c>
      <c r="D402">
        <v>1E-3</v>
      </c>
    </row>
    <row r="403" spans="1:4" x14ac:dyDescent="0.2">
      <c r="A403">
        <v>499</v>
      </c>
      <c r="B403">
        <v>1E-3</v>
      </c>
      <c r="C403">
        <v>0</v>
      </c>
      <c r="D403">
        <v>1E-3</v>
      </c>
    </row>
    <row r="404" spans="1:4" x14ac:dyDescent="0.2">
      <c r="A404">
        <v>500</v>
      </c>
      <c r="B404">
        <v>8.9999999999999998E-4</v>
      </c>
      <c r="C404">
        <v>0</v>
      </c>
      <c r="D404">
        <v>8.9999999999999998E-4</v>
      </c>
    </row>
    <row r="405" spans="1:4" x14ac:dyDescent="0.2">
      <c r="A405">
        <v>501</v>
      </c>
      <c r="B405">
        <v>8.9999999999999998E-4</v>
      </c>
      <c r="C405">
        <v>0</v>
      </c>
      <c r="D405">
        <v>8.9999999999999998E-4</v>
      </c>
    </row>
    <row r="406" spans="1:4" x14ac:dyDescent="0.2">
      <c r="A406">
        <v>502</v>
      </c>
      <c r="B406">
        <v>8.9999999999999998E-4</v>
      </c>
      <c r="C406">
        <v>0</v>
      </c>
      <c r="D406">
        <v>8.9999999999999998E-4</v>
      </c>
    </row>
    <row r="407" spans="1:4" x14ac:dyDescent="0.2">
      <c r="A407">
        <v>503</v>
      </c>
      <c r="B407">
        <v>8.9999999999999998E-4</v>
      </c>
      <c r="C407">
        <v>0</v>
      </c>
      <c r="D407">
        <v>8.9999999999999998E-4</v>
      </c>
    </row>
    <row r="408" spans="1:4" x14ac:dyDescent="0.2">
      <c r="A408">
        <v>504</v>
      </c>
      <c r="B408">
        <v>8.9999999999999998E-4</v>
      </c>
      <c r="C408">
        <v>0</v>
      </c>
      <c r="D408">
        <v>8.9999999999999998E-4</v>
      </c>
    </row>
    <row r="409" spans="1:4" x14ac:dyDescent="0.2">
      <c r="A409">
        <v>505</v>
      </c>
      <c r="B409">
        <v>8.9999999999999998E-4</v>
      </c>
      <c r="C409">
        <v>0</v>
      </c>
      <c r="D409">
        <v>8.9999999999999998E-4</v>
      </c>
    </row>
    <row r="410" spans="1:4" x14ac:dyDescent="0.2">
      <c r="A410">
        <v>506</v>
      </c>
      <c r="B410">
        <v>8.9999999999999998E-4</v>
      </c>
      <c r="C410">
        <v>0</v>
      </c>
      <c r="D410">
        <v>8.9999999999999998E-4</v>
      </c>
    </row>
    <row r="411" spans="1:4" x14ac:dyDescent="0.2">
      <c r="A411">
        <v>507</v>
      </c>
      <c r="B411">
        <v>8.9999999999999998E-4</v>
      </c>
      <c r="C411">
        <v>0</v>
      </c>
      <c r="D411">
        <v>8.9999999999999998E-4</v>
      </c>
    </row>
    <row r="412" spans="1:4" x14ac:dyDescent="0.2">
      <c r="A412">
        <v>508</v>
      </c>
      <c r="B412">
        <v>8.9999999999999998E-4</v>
      </c>
      <c r="C412">
        <v>0</v>
      </c>
      <c r="D412">
        <v>8.9999999999999998E-4</v>
      </c>
    </row>
    <row r="413" spans="1:4" x14ac:dyDescent="0.2">
      <c r="A413">
        <v>509</v>
      </c>
      <c r="B413">
        <v>8.9999999999999998E-4</v>
      </c>
      <c r="C413">
        <v>0</v>
      </c>
      <c r="D413">
        <v>8.9999999999999998E-4</v>
      </c>
    </row>
    <row r="414" spans="1:4" x14ac:dyDescent="0.2">
      <c r="A414">
        <v>510</v>
      </c>
      <c r="B414">
        <v>8.9999999999999998E-4</v>
      </c>
      <c r="C414">
        <v>0</v>
      </c>
      <c r="D414">
        <v>8.9999999999999998E-4</v>
      </c>
    </row>
    <row r="415" spans="1:4" x14ac:dyDescent="0.2">
      <c r="A415">
        <v>511</v>
      </c>
      <c r="B415">
        <v>8.9999999999999998E-4</v>
      </c>
      <c r="C415">
        <v>0</v>
      </c>
      <c r="D415">
        <v>8.9999999999999998E-4</v>
      </c>
    </row>
    <row r="416" spans="1:4" x14ac:dyDescent="0.2">
      <c r="A416">
        <v>512</v>
      </c>
      <c r="B416">
        <v>8.9999999999999998E-4</v>
      </c>
      <c r="C416">
        <v>0</v>
      </c>
      <c r="D416">
        <v>8.9999999999999998E-4</v>
      </c>
    </row>
    <row r="417" spans="1:4" x14ac:dyDescent="0.2">
      <c r="A417">
        <v>513</v>
      </c>
      <c r="B417">
        <v>8.9999999999999998E-4</v>
      </c>
      <c r="C417">
        <v>0</v>
      </c>
      <c r="D417">
        <v>8.9999999999999998E-4</v>
      </c>
    </row>
    <row r="418" spans="1:4" x14ac:dyDescent="0.2">
      <c r="A418">
        <v>514</v>
      </c>
      <c r="B418">
        <v>8.9999999999999998E-4</v>
      </c>
      <c r="C418">
        <v>0</v>
      </c>
      <c r="D418">
        <v>8.9999999999999998E-4</v>
      </c>
    </row>
    <row r="419" spans="1:4" x14ac:dyDescent="0.2">
      <c r="A419">
        <v>515</v>
      </c>
      <c r="B419">
        <v>8.9999999999999998E-4</v>
      </c>
      <c r="C419">
        <v>0</v>
      </c>
      <c r="D419">
        <v>8.9999999999999998E-4</v>
      </c>
    </row>
    <row r="420" spans="1:4" x14ac:dyDescent="0.2">
      <c r="A420">
        <v>516</v>
      </c>
      <c r="B420">
        <v>8.9999999999999998E-4</v>
      </c>
      <c r="C420">
        <v>0</v>
      </c>
      <c r="D420">
        <v>8.9999999999999998E-4</v>
      </c>
    </row>
    <row r="421" spans="1:4" x14ac:dyDescent="0.2">
      <c r="A421">
        <v>517</v>
      </c>
      <c r="B421">
        <v>8.9999999999999998E-4</v>
      </c>
      <c r="C421">
        <v>0</v>
      </c>
      <c r="D421">
        <v>8.9999999999999998E-4</v>
      </c>
    </row>
    <row r="422" spans="1:4" x14ac:dyDescent="0.2">
      <c r="A422">
        <v>518</v>
      </c>
      <c r="B422">
        <v>8.9999999999999998E-4</v>
      </c>
      <c r="C422">
        <v>0</v>
      </c>
      <c r="D422">
        <v>8.9999999999999998E-4</v>
      </c>
    </row>
    <row r="423" spans="1:4" x14ac:dyDescent="0.2">
      <c r="A423">
        <v>519</v>
      </c>
      <c r="B423">
        <v>8.9999999999999998E-4</v>
      </c>
      <c r="C423">
        <v>0</v>
      </c>
      <c r="D423">
        <v>8.9999999999999998E-4</v>
      </c>
    </row>
    <row r="424" spans="1:4" x14ac:dyDescent="0.2">
      <c r="A424">
        <v>520</v>
      </c>
      <c r="B424">
        <v>8.9999999999999998E-4</v>
      </c>
      <c r="C424">
        <v>0</v>
      </c>
      <c r="D424">
        <v>8.9999999999999998E-4</v>
      </c>
    </row>
    <row r="425" spans="1:4" x14ac:dyDescent="0.2">
      <c r="A425">
        <v>521</v>
      </c>
      <c r="B425">
        <v>8.9999999999999998E-4</v>
      </c>
      <c r="C425">
        <v>0</v>
      </c>
      <c r="D425">
        <v>8.9999999999999998E-4</v>
      </c>
    </row>
    <row r="426" spans="1:4" x14ac:dyDescent="0.2">
      <c r="A426">
        <v>522</v>
      </c>
      <c r="B426">
        <v>8.9999999999999998E-4</v>
      </c>
      <c r="C426">
        <v>0</v>
      </c>
      <c r="D426">
        <v>8.9999999999999998E-4</v>
      </c>
    </row>
    <row r="427" spans="1:4" x14ac:dyDescent="0.2">
      <c r="A427">
        <v>523</v>
      </c>
      <c r="B427">
        <v>8.9999999999999998E-4</v>
      </c>
      <c r="C427">
        <v>0</v>
      </c>
      <c r="D427">
        <v>8.9999999999999998E-4</v>
      </c>
    </row>
    <row r="428" spans="1:4" x14ac:dyDescent="0.2">
      <c r="A428">
        <v>524</v>
      </c>
      <c r="B428">
        <v>8.9999999999999998E-4</v>
      </c>
      <c r="C428">
        <v>0</v>
      </c>
      <c r="D428">
        <v>8.9999999999999998E-4</v>
      </c>
    </row>
    <row r="429" spans="1:4" x14ac:dyDescent="0.2">
      <c r="A429">
        <v>525</v>
      </c>
      <c r="B429">
        <v>8.9999999999999998E-4</v>
      </c>
      <c r="C429">
        <v>0</v>
      </c>
      <c r="D429">
        <v>8.9999999999999998E-4</v>
      </c>
    </row>
    <row r="430" spans="1:4" x14ac:dyDescent="0.2">
      <c r="A430">
        <v>526</v>
      </c>
      <c r="B430">
        <v>8.9999999999999998E-4</v>
      </c>
      <c r="C430">
        <v>0</v>
      </c>
      <c r="D430">
        <v>8.9999999999999998E-4</v>
      </c>
    </row>
    <row r="431" spans="1:4" x14ac:dyDescent="0.2">
      <c r="A431">
        <v>527</v>
      </c>
      <c r="B431">
        <v>8.9999999999999998E-4</v>
      </c>
      <c r="C431">
        <v>0</v>
      </c>
      <c r="D431">
        <v>8.9999999999999998E-4</v>
      </c>
    </row>
    <row r="432" spans="1:4" x14ac:dyDescent="0.2">
      <c r="A432">
        <v>528</v>
      </c>
      <c r="B432">
        <v>8.9999999999999998E-4</v>
      </c>
      <c r="C432">
        <v>0</v>
      </c>
      <c r="D432">
        <v>8.9999999999999998E-4</v>
      </c>
    </row>
    <row r="433" spans="1:4" x14ac:dyDescent="0.2">
      <c r="A433">
        <v>529</v>
      </c>
      <c r="B433">
        <v>8.9999999999999998E-4</v>
      </c>
      <c r="C433">
        <v>0</v>
      </c>
      <c r="D433">
        <v>8.9999999999999998E-4</v>
      </c>
    </row>
    <row r="434" spans="1:4" x14ac:dyDescent="0.2">
      <c r="A434">
        <v>530</v>
      </c>
      <c r="B434">
        <v>8.9999999999999998E-4</v>
      </c>
      <c r="C434">
        <v>0</v>
      </c>
      <c r="D434">
        <v>8.9999999999999998E-4</v>
      </c>
    </row>
    <row r="435" spans="1:4" x14ac:dyDescent="0.2">
      <c r="A435">
        <v>531</v>
      </c>
      <c r="B435">
        <v>8.9999999999999998E-4</v>
      </c>
      <c r="C435">
        <v>0</v>
      </c>
      <c r="D435">
        <v>8.9999999999999998E-4</v>
      </c>
    </row>
    <row r="436" spans="1:4" x14ac:dyDescent="0.2">
      <c r="A436">
        <v>532</v>
      </c>
      <c r="B436">
        <v>8.9999999999999998E-4</v>
      </c>
      <c r="C436">
        <v>0</v>
      </c>
      <c r="D436">
        <v>8.9999999999999998E-4</v>
      </c>
    </row>
    <row r="437" spans="1:4" x14ac:dyDescent="0.2">
      <c r="A437">
        <v>533</v>
      </c>
      <c r="B437">
        <v>8.9999999999999998E-4</v>
      </c>
      <c r="C437">
        <v>0</v>
      </c>
      <c r="D437">
        <v>8.9999999999999998E-4</v>
      </c>
    </row>
    <row r="438" spans="1:4" x14ac:dyDescent="0.2">
      <c r="A438">
        <v>534</v>
      </c>
      <c r="B438">
        <v>8.9999999999999998E-4</v>
      </c>
      <c r="C438">
        <v>0</v>
      </c>
      <c r="D438">
        <v>8.9999999999999998E-4</v>
      </c>
    </row>
    <row r="439" spans="1:4" x14ac:dyDescent="0.2">
      <c r="A439">
        <v>535</v>
      </c>
      <c r="B439">
        <v>8.9999999999999998E-4</v>
      </c>
      <c r="C439">
        <v>0</v>
      </c>
      <c r="D439">
        <v>8.9999999999999998E-4</v>
      </c>
    </row>
    <row r="440" spans="1:4" x14ac:dyDescent="0.2">
      <c r="A440">
        <v>536</v>
      </c>
      <c r="B440">
        <v>8.9999999999999998E-4</v>
      </c>
      <c r="C440">
        <v>0</v>
      </c>
      <c r="D440">
        <v>8.9999999999999998E-4</v>
      </c>
    </row>
    <row r="441" spans="1:4" x14ac:dyDescent="0.2">
      <c r="A441">
        <v>537</v>
      </c>
      <c r="B441">
        <v>8.9999999999999998E-4</v>
      </c>
      <c r="C441">
        <v>0</v>
      </c>
      <c r="D441">
        <v>8.9999999999999998E-4</v>
      </c>
    </row>
    <row r="442" spans="1:4" x14ac:dyDescent="0.2">
      <c r="A442">
        <v>538</v>
      </c>
      <c r="B442">
        <v>8.9999999999999998E-4</v>
      </c>
      <c r="C442">
        <v>0</v>
      </c>
      <c r="D442">
        <v>8.9999999999999998E-4</v>
      </c>
    </row>
    <row r="443" spans="1:4" x14ac:dyDescent="0.2">
      <c r="A443">
        <v>539</v>
      </c>
      <c r="B443">
        <v>8.9999999999999998E-4</v>
      </c>
      <c r="C443">
        <v>0</v>
      </c>
      <c r="D443">
        <v>8.9999999999999998E-4</v>
      </c>
    </row>
    <row r="444" spans="1:4" x14ac:dyDescent="0.2">
      <c r="A444">
        <v>540</v>
      </c>
      <c r="B444">
        <v>8.9999999999999998E-4</v>
      </c>
      <c r="C444">
        <v>0</v>
      </c>
      <c r="D444">
        <v>8.9999999999999998E-4</v>
      </c>
    </row>
    <row r="445" spans="1:4" x14ac:dyDescent="0.2">
      <c r="A445">
        <v>541</v>
      </c>
      <c r="B445">
        <v>8.9999999999999998E-4</v>
      </c>
      <c r="C445">
        <v>0</v>
      </c>
      <c r="D445">
        <v>8.9999999999999998E-4</v>
      </c>
    </row>
    <row r="446" spans="1:4" x14ac:dyDescent="0.2">
      <c r="A446">
        <v>542</v>
      </c>
      <c r="B446">
        <v>8.9999999999999998E-4</v>
      </c>
      <c r="C446">
        <v>0</v>
      </c>
      <c r="D446">
        <v>8.9999999999999998E-4</v>
      </c>
    </row>
    <row r="447" spans="1:4" x14ac:dyDescent="0.2">
      <c r="A447">
        <v>543</v>
      </c>
      <c r="B447">
        <v>8.9999999999999998E-4</v>
      </c>
      <c r="C447">
        <v>0</v>
      </c>
      <c r="D447">
        <v>8.9999999999999998E-4</v>
      </c>
    </row>
    <row r="448" spans="1:4" x14ac:dyDescent="0.2">
      <c r="A448">
        <v>544</v>
      </c>
      <c r="B448">
        <v>8.9999999999999998E-4</v>
      </c>
      <c r="C448">
        <v>0</v>
      </c>
      <c r="D448">
        <v>8.9999999999999998E-4</v>
      </c>
    </row>
    <row r="449" spans="1:4" x14ac:dyDescent="0.2">
      <c r="A449">
        <v>545</v>
      </c>
      <c r="B449">
        <v>8.9999999999999998E-4</v>
      </c>
      <c r="C449">
        <v>0</v>
      </c>
      <c r="D449">
        <v>8.9999999999999998E-4</v>
      </c>
    </row>
    <row r="450" spans="1:4" x14ac:dyDescent="0.2">
      <c r="A450">
        <v>546</v>
      </c>
      <c r="B450">
        <v>8.9999999999999998E-4</v>
      </c>
      <c r="C450">
        <v>0</v>
      </c>
      <c r="D450">
        <v>8.9999999999999998E-4</v>
      </c>
    </row>
    <row r="451" spans="1:4" x14ac:dyDescent="0.2">
      <c r="A451">
        <v>547</v>
      </c>
      <c r="B451">
        <v>8.9999999999999998E-4</v>
      </c>
      <c r="C451">
        <v>0</v>
      </c>
      <c r="D451">
        <v>8.9999999999999998E-4</v>
      </c>
    </row>
    <row r="452" spans="1:4" x14ac:dyDescent="0.2">
      <c r="A452">
        <v>548</v>
      </c>
      <c r="B452">
        <v>8.0000000000000004E-4</v>
      </c>
      <c r="C452">
        <v>0</v>
      </c>
      <c r="D452">
        <v>8.0000000000000004E-4</v>
      </c>
    </row>
    <row r="453" spans="1:4" x14ac:dyDescent="0.2">
      <c r="A453">
        <v>549</v>
      </c>
      <c r="B453">
        <v>8.0000000000000004E-4</v>
      </c>
      <c r="C453">
        <v>0</v>
      </c>
      <c r="D453">
        <v>8.0000000000000004E-4</v>
      </c>
    </row>
    <row r="454" spans="1:4" x14ac:dyDescent="0.2">
      <c r="A454">
        <v>550</v>
      </c>
      <c r="B454">
        <v>8.0000000000000004E-4</v>
      </c>
      <c r="C454">
        <v>0</v>
      </c>
      <c r="D454">
        <v>8.0000000000000004E-4</v>
      </c>
    </row>
    <row r="455" spans="1:4" x14ac:dyDescent="0.2">
      <c r="A455">
        <v>551</v>
      </c>
      <c r="B455">
        <v>8.0000000000000004E-4</v>
      </c>
      <c r="C455">
        <v>0</v>
      </c>
      <c r="D455">
        <v>8.0000000000000004E-4</v>
      </c>
    </row>
    <row r="456" spans="1:4" x14ac:dyDescent="0.2">
      <c r="A456">
        <v>552</v>
      </c>
      <c r="B456">
        <v>8.0000000000000004E-4</v>
      </c>
      <c r="C456">
        <v>0</v>
      </c>
      <c r="D456">
        <v>8.0000000000000004E-4</v>
      </c>
    </row>
    <row r="457" spans="1:4" x14ac:dyDescent="0.2">
      <c r="A457">
        <v>553</v>
      </c>
      <c r="B457">
        <v>8.0000000000000004E-4</v>
      </c>
      <c r="C457">
        <v>0</v>
      </c>
      <c r="D457">
        <v>8.0000000000000004E-4</v>
      </c>
    </row>
    <row r="458" spans="1:4" x14ac:dyDescent="0.2">
      <c r="A458">
        <v>554</v>
      </c>
      <c r="B458">
        <v>8.0000000000000004E-4</v>
      </c>
      <c r="C458">
        <v>0</v>
      </c>
      <c r="D458">
        <v>8.0000000000000004E-4</v>
      </c>
    </row>
    <row r="459" spans="1:4" x14ac:dyDescent="0.2">
      <c r="A459">
        <v>555</v>
      </c>
      <c r="B459">
        <v>8.0000000000000004E-4</v>
      </c>
      <c r="C459">
        <v>0</v>
      </c>
      <c r="D459">
        <v>8.0000000000000004E-4</v>
      </c>
    </row>
    <row r="460" spans="1:4" x14ac:dyDescent="0.2">
      <c r="A460">
        <v>556</v>
      </c>
      <c r="B460">
        <v>8.0000000000000004E-4</v>
      </c>
      <c r="C460">
        <v>0</v>
      </c>
      <c r="D460">
        <v>8.0000000000000004E-4</v>
      </c>
    </row>
    <row r="461" spans="1:4" x14ac:dyDescent="0.2">
      <c r="A461">
        <v>557</v>
      </c>
      <c r="B461">
        <v>8.0000000000000004E-4</v>
      </c>
      <c r="C461">
        <v>0</v>
      </c>
      <c r="D461">
        <v>8.0000000000000004E-4</v>
      </c>
    </row>
    <row r="462" spans="1:4" x14ac:dyDescent="0.2">
      <c r="A462">
        <v>558</v>
      </c>
      <c r="B462">
        <v>8.0000000000000004E-4</v>
      </c>
      <c r="C462">
        <v>0</v>
      </c>
      <c r="D462">
        <v>8.0000000000000004E-4</v>
      </c>
    </row>
    <row r="463" spans="1:4" x14ac:dyDescent="0.2">
      <c r="A463">
        <v>559</v>
      </c>
      <c r="B463">
        <v>8.0000000000000004E-4</v>
      </c>
      <c r="C463">
        <v>0</v>
      </c>
      <c r="D463">
        <v>8.0000000000000004E-4</v>
      </c>
    </row>
    <row r="464" spans="1:4" x14ac:dyDescent="0.2">
      <c r="A464">
        <v>560</v>
      </c>
      <c r="B464">
        <v>8.0000000000000004E-4</v>
      </c>
      <c r="C464">
        <v>0</v>
      </c>
      <c r="D464">
        <v>8.0000000000000004E-4</v>
      </c>
    </row>
    <row r="465" spans="1:4" x14ac:dyDescent="0.2">
      <c r="A465">
        <v>561</v>
      </c>
      <c r="B465">
        <v>8.0000000000000004E-4</v>
      </c>
      <c r="C465">
        <v>0</v>
      </c>
      <c r="D465">
        <v>8.0000000000000004E-4</v>
      </c>
    </row>
    <row r="466" spans="1:4" x14ac:dyDescent="0.2">
      <c r="A466">
        <v>562</v>
      </c>
      <c r="B466">
        <v>8.0000000000000004E-4</v>
      </c>
      <c r="C466">
        <v>0</v>
      </c>
      <c r="D466">
        <v>8.0000000000000004E-4</v>
      </c>
    </row>
    <row r="467" spans="1:4" x14ac:dyDescent="0.2">
      <c r="A467">
        <v>563</v>
      </c>
      <c r="B467">
        <v>8.0000000000000004E-4</v>
      </c>
      <c r="C467">
        <v>0</v>
      </c>
      <c r="D467">
        <v>8.0000000000000004E-4</v>
      </c>
    </row>
    <row r="468" spans="1:4" x14ac:dyDescent="0.2">
      <c r="A468">
        <v>564</v>
      </c>
      <c r="B468">
        <v>8.0000000000000004E-4</v>
      </c>
      <c r="C468">
        <v>0</v>
      </c>
      <c r="D468">
        <v>8.0000000000000004E-4</v>
      </c>
    </row>
    <row r="469" spans="1:4" x14ac:dyDescent="0.2">
      <c r="A469">
        <v>565</v>
      </c>
      <c r="B469">
        <v>8.0000000000000004E-4</v>
      </c>
      <c r="C469">
        <v>0</v>
      </c>
      <c r="D469">
        <v>8.0000000000000004E-4</v>
      </c>
    </row>
    <row r="470" spans="1:4" x14ac:dyDescent="0.2">
      <c r="A470">
        <v>566</v>
      </c>
      <c r="B470">
        <v>8.0000000000000004E-4</v>
      </c>
      <c r="C470">
        <v>0</v>
      </c>
      <c r="D470">
        <v>8.0000000000000004E-4</v>
      </c>
    </row>
    <row r="471" spans="1:4" x14ac:dyDescent="0.2">
      <c r="A471">
        <v>567</v>
      </c>
      <c r="B471">
        <v>8.0000000000000004E-4</v>
      </c>
      <c r="C471">
        <v>0</v>
      </c>
      <c r="D471">
        <v>8.0000000000000004E-4</v>
      </c>
    </row>
    <row r="472" spans="1:4" x14ac:dyDescent="0.2">
      <c r="A472">
        <v>568</v>
      </c>
      <c r="B472">
        <v>8.0000000000000004E-4</v>
      </c>
      <c r="C472">
        <v>0</v>
      </c>
      <c r="D472">
        <v>8.0000000000000004E-4</v>
      </c>
    </row>
    <row r="473" spans="1:4" x14ac:dyDescent="0.2">
      <c r="A473">
        <v>569</v>
      </c>
      <c r="B473">
        <v>8.0000000000000004E-4</v>
      </c>
      <c r="C473">
        <v>0</v>
      </c>
      <c r="D473">
        <v>8.0000000000000004E-4</v>
      </c>
    </row>
    <row r="474" spans="1:4" x14ac:dyDescent="0.2">
      <c r="A474">
        <v>570</v>
      </c>
      <c r="B474">
        <v>8.0000000000000004E-4</v>
      </c>
      <c r="C474">
        <v>0</v>
      </c>
      <c r="D474">
        <v>8.0000000000000004E-4</v>
      </c>
    </row>
    <row r="475" spans="1:4" x14ac:dyDescent="0.2">
      <c r="A475">
        <v>571</v>
      </c>
      <c r="B475">
        <v>8.0000000000000004E-4</v>
      </c>
      <c r="C475">
        <v>0</v>
      </c>
      <c r="D475">
        <v>8.0000000000000004E-4</v>
      </c>
    </row>
    <row r="476" spans="1:4" x14ac:dyDescent="0.2">
      <c r="A476">
        <v>572</v>
      </c>
      <c r="B476">
        <v>8.0000000000000004E-4</v>
      </c>
      <c r="C476">
        <v>0</v>
      </c>
      <c r="D476">
        <v>8.0000000000000004E-4</v>
      </c>
    </row>
    <row r="477" spans="1:4" x14ac:dyDescent="0.2">
      <c r="A477">
        <v>573</v>
      </c>
      <c r="B477">
        <v>8.0000000000000004E-4</v>
      </c>
      <c r="C477">
        <v>0</v>
      </c>
      <c r="D477">
        <v>8.0000000000000004E-4</v>
      </c>
    </row>
    <row r="478" spans="1:4" x14ac:dyDescent="0.2">
      <c r="A478">
        <v>574</v>
      </c>
      <c r="B478">
        <v>8.0000000000000004E-4</v>
      </c>
      <c r="C478">
        <v>0</v>
      </c>
      <c r="D478">
        <v>8.0000000000000004E-4</v>
      </c>
    </row>
    <row r="479" spans="1:4" x14ac:dyDescent="0.2">
      <c r="A479">
        <v>575</v>
      </c>
      <c r="B479">
        <v>8.0000000000000004E-4</v>
      </c>
      <c r="C479">
        <v>0</v>
      </c>
      <c r="D479">
        <v>8.0000000000000004E-4</v>
      </c>
    </row>
    <row r="480" spans="1:4" x14ac:dyDescent="0.2">
      <c r="A480">
        <v>576</v>
      </c>
      <c r="B480">
        <v>8.0000000000000004E-4</v>
      </c>
      <c r="C480">
        <v>0</v>
      </c>
      <c r="D480">
        <v>8.0000000000000004E-4</v>
      </c>
    </row>
    <row r="481" spans="1:4" x14ac:dyDescent="0.2">
      <c r="A481">
        <v>577</v>
      </c>
      <c r="B481">
        <v>8.0000000000000004E-4</v>
      </c>
      <c r="C481">
        <v>0</v>
      </c>
      <c r="D481">
        <v>8.0000000000000004E-4</v>
      </c>
    </row>
    <row r="482" spans="1:4" x14ac:dyDescent="0.2">
      <c r="A482">
        <v>578</v>
      </c>
      <c r="B482">
        <v>8.0000000000000004E-4</v>
      </c>
      <c r="C482">
        <v>0</v>
      </c>
      <c r="D482">
        <v>8.0000000000000004E-4</v>
      </c>
    </row>
    <row r="483" spans="1:4" x14ac:dyDescent="0.2">
      <c r="A483">
        <v>579</v>
      </c>
      <c r="B483">
        <v>8.0000000000000004E-4</v>
      </c>
      <c r="C483">
        <v>0</v>
      </c>
      <c r="D483">
        <v>8.0000000000000004E-4</v>
      </c>
    </row>
    <row r="484" spans="1:4" x14ac:dyDescent="0.2">
      <c r="A484">
        <v>580</v>
      </c>
      <c r="B484">
        <v>8.0000000000000004E-4</v>
      </c>
      <c r="C484">
        <v>0</v>
      </c>
      <c r="D484">
        <v>8.0000000000000004E-4</v>
      </c>
    </row>
    <row r="485" spans="1:4" x14ac:dyDescent="0.2">
      <c r="A485">
        <v>581</v>
      </c>
      <c r="B485">
        <v>8.0000000000000004E-4</v>
      </c>
      <c r="C485">
        <v>0</v>
      </c>
      <c r="D485">
        <v>8.0000000000000004E-4</v>
      </c>
    </row>
    <row r="486" spans="1:4" x14ac:dyDescent="0.2">
      <c r="A486">
        <v>582</v>
      </c>
      <c r="B486">
        <v>8.0000000000000004E-4</v>
      </c>
      <c r="C486">
        <v>0</v>
      </c>
      <c r="D486">
        <v>8.0000000000000004E-4</v>
      </c>
    </row>
    <row r="487" spans="1:4" x14ac:dyDescent="0.2">
      <c r="A487">
        <v>583</v>
      </c>
      <c r="B487">
        <v>8.0000000000000004E-4</v>
      </c>
      <c r="C487">
        <v>0</v>
      </c>
      <c r="D487">
        <v>8.0000000000000004E-4</v>
      </c>
    </row>
    <row r="488" spans="1:4" x14ac:dyDescent="0.2">
      <c r="A488">
        <v>584</v>
      </c>
      <c r="B488">
        <v>8.0000000000000004E-4</v>
      </c>
      <c r="C488">
        <v>0</v>
      </c>
      <c r="D488">
        <v>8.0000000000000004E-4</v>
      </c>
    </row>
    <row r="489" spans="1:4" x14ac:dyDescent="0.2">
      <c r="A489">
        <v>585</v>
      </c>
      <c r="B489">
        <v>8.0000000000000004E-4</v>
      </c>
      <c r="C489">
        <v>0</v>
      </c>
      <c r="D489">
        <v>8.0000000000000004E-4</v>
      </c>
    </row>
    <row r="490" spans="1:4" x14ac:dyDescent="0.2">
      <c r="A490">
        <v>586</v>
      </c>
      <c r="B490">
        <v>8.0000000000000004E-4</v>
      </c>
      <c r="C490">
        <v>0</v>
      </c>
      <c r="D490">
        <v>8.0000000000000004E-4</v>
      </c>
    </row>
    <row r="491" spans="1:4" x14ac:dyDescent="0.2">
      <c r="A491">
        <v>587</v>
      </c>
      <c r="B491">
        <v>8.0000000000000004E-4</v>
      </c>
      <c r="C491">
        <v>0</v>
      </c>
      <c r="D491">
        <v>8.0000000000000004E-4</v>
      </c>
    </row>
    <row r="492" spans="1:4" x14ac:dyDescent="0.2">
      <c r="A492">
        <v>588</v>
      </c>
      <c r="B492">
        <v>8.0000000000000004E-4</v>
      </c>
      <c r="C492">
        <v>0</v>
      </c>
      <c r="D492">
        <v>8.0000000000000004E-4</v>
      </c>
    </row>
    <row r="493" spans="1:4" x14ac:dyDescent="0.2">
      <c r="A493">
        <v>589</v>
      </c>
      <c r="B493">
        <v>8.0000000000000004E-4</v>
      </c>
      <c r="C493">
        <v>0</v>
      </c>
      <c r="D493">
        <v>8.0000000000000004E-4</v>
      </c>
    </row>
    <row r="494" spans="1:4" x14ac:dyDescent="0.2">
      <c r="A494">
        <v>590</v>
      </c>
      <c r="B494">
        <v>8.0000000000000004E-4</v>
      </c>
      <c r="C494">
        <v>0</v>
      </c>
      <c r="D494">
        <v>8.0000000000000004E-4</v>
      </c>
    </row>
    <row r="495" spans="1:4" x14ac:dyDescent="0.2">
      <c r="A495">
        <v>591</v>
      </c>
      <c r="B495">
        <v>8.0000000000000004E-4</v>
      </c>
      <c r="C495">
        <v>0</v>
      </c>
      <c r="D495">
        <v>8.0000000000000004E-4</v>
      </c>
    </row>
    <row r="496" spans="1:4" x14ac:dyDescent="0.2">
      <c r="A496">
        <v>592</v>
      </c>
      <c r="B496">
        <v>8.0000000000000004E-4</v>
      </c>
      <c r="C496">
        <v>0</v>
      </c>
      <c r="D496">
        <v>8.0000000000000004E-4</v>
      </c>
    </row>
    <row r="497" spans="1:4" x14ac:dyDescent="0.2">
      <c r="A497">
        <v>593</v>
      </c>
      <c r="B497">
        <v>8.0000000000000004E-4</v>
      </c>
      <c r="C497">
        <v>0</v>
      </c>
      <c r="D497">
        <v>8.0000000000000004E-4</v>
      </c>
    </row>
    <row r="498" spans="1:4" x14ac:dyDescent="0.2">
      <c r="A498">
        <v>594</v>
      </c>
      <c r="B498">
        <v>8.0000000000000004E-4</v>
      </c>
      <c r="C498">
        <v>0</v>
      </c>
      <c r="D498">
        <v>8.0000000000000004E-4</v>
      </c>
    </row>
    <row r="499" spans="1:4" x14ac:dyDescent="0.2">
      <c r="A499">
        <v>595</v>
      </c>
      <c r="B499">
        <v>8.0000000000000004E-4</v>
      </c>
      <c r="C499">
        <v>0</v>
      </c>
      <c r="D499">
        <v>8.0000000000000004E-4</v>
      </c>
    </row>
    <row r="500" spans="1:4" x14ac:dyDescent="0.2">
      <c r="A500">
        <v>596</v>
      </c>
      <c r="B500">
        <v>8.0000000000000004E-4</v>
      </c>
      <c r="C500">
        <v>0</v>
      </c>
      <c r="D500">
        <v>8.0000000000000004E-4</v>
      </c>
    </row>
    <row r="501" spans="1:4" x14ac:dyDescent="0.2">
      <c r="A501">
        <v>597</v>
      </c>
      <c r="B501">
        <v>8.0000000000000004E-4</v>
      </c>
      <c r="C501">
        <v>0</v>
      </c>
      <c r="D501">
        <v>8.0000000000000004E-4</v>
      </c>
    </row>
    <row r="502" spans="1:4" x14ac:dyDescent="0.2">
      <c r="A502">
        <v>598</v>
      </c>
      <c r="B502">
        <v>8.0000000000000004E-4</v>
      </c>
      <c r="C502">
        <v>0</v>
      </c>
      <c r="D502">
        <v>8.0000000000000004E-4</v>
      </c>
    </row>
    <row r="503" spans="1:4" x14ac:dyDescent="0.2">
      <c r="A503">
        <v>599</v>
      </c>
      <c r="B503">
        <v>8.0000000000000004E-4</v>
      </c>
      <c r="C503">
        <v>0</v>
      </c>
      <c r="D503">
        <v>8.0000000000000004E-4</v>
      </c>
    </row>
    <row r="504" spans="1:4" x14ac:dyDescent="0.2">
      <c r="A504">
        <v>600</v>
      </c>
      <c r="B504">
        <v>8.0000000000000004E-4</v>
      </c>
      <c r="C504">
        <v>0</v>
      </c>
      <c r="D504">
        <v>8.0000000000000004E-4</v>
      </c>
    </row>
    <row r="505" spans="1:4" x14ac:dyDescent="0.2">
      <c r="A505">
        <v>601</v>
      </c>
      <c r="B505">
        <v>8.0000000000000004E-4</v>
      </c>
      <c r="C505">
        <v>0</v>
      </c>
      <c r="D505">
        <v>8.0000000000000004E-4</v>
      </c>
    </row>
    <row r="506" spans="1:4" x14ac:dyDescent="0.2">
      <c r="A506">
        <v>602</v>
      </c>
      <c r="B506">
        <v>8.0000000000000004E-4</v>
      </c>
      <c r="C506">
        <v>0</v>
      </c>
      <c r="D506">
        <v>8.0000000000000004E-4</v>
      </c>
    </row>
    <row r="507" spans="1:4" x14ac:dyDescent="0.2">
      <c r="A507">
        <v>603</v>
      </c>
      <c r="B507">
        <v>8.0000000000000004E-4</v>
      </c>
      <c r="C507">
        <v>0</v>
      </c>
      <c r="D507">
        <v>8.0000000000000004E-4</v>
      </c>
    </row>
    <row r="508" spans="1:4" x14ac:dyDescent="0.2">
      <c r="A508">
        <v>604</v>
      </c>
      <c r="B508">
        <v>8.0000000000000004E-4</v>
      </c>
      <c r="C508">
        <v>0</v>
      </c>
      <c r="D508">
        <v>8.0000000000000004E-4</v>
      </c>
    </row>
    <row r="509" spans="1:4" x14ac:dyDescent="0.2">
      <c r="A509">
        <v>605</v>
      </c>
      <c r="B509">
        <v>8.0000000000000004E-4</v>
      </c>
      <c r="C509">
        <v>0</v>
      </c>
      <c r="D509">
        <v>8.0000000000000004E-4</v>
      </c>
    </row>
    <row r="510" spans="1:4" x14ac:dyDescent="0.2">
      <c r="A510">
        <v>606</v>
      </c>
      <c r="B510">
        <v>8.0000000000000004E-4</v>
      </c>
      <c r="C510">
        <v>0</v>
      </c>
      <c r="D510">
        <v>8.0000000000000004E-4</v>
      </c>
    </row>
    <row r="511" spans="1:4" x14ac:dyDescent="0.2">
      <c r="A511">
        <v>607</v>
      </c>
      <c r="B511">
        <v>8.0000000000000004E-4</v>
      </c>
      <c r="C511">
        <v>0</v>
      </c>
      <c r="D511">
        <v>8.0000000000000004E-4</v>
      </c>
    </row>
    <row r="512" spans="1:4" x14ac:dyDescent="0.2">
      <c r="A512">
        <v>608</v>
      </c>
      <c r="B512">
        <v>8.0000000000000004E-4</v>
      </c>
      <c r="C512">
        <v>0</v>
      </c>
      <c r="D512">
        <v>8.0000000000000004E-4</v>
      </c>
    </row>
    <row r="513" spans="1:4" x14ac:dyDescent="0.2">
      <c r="A513">
        <v>609</v>
      </c>
      <c r="B513">
        <v>8.0000000000000004E-4</v>
      </c>
      <c r="C513">
        <v>0</v>
      </c>
      <c r="D513">
        <v>8.0000000000000004E-4</v>
      </c>
    </row>
    <row r="514" spans="1:4" x14ac:dyDescent="0.2">
      <c r="A514">
        <v>610</v>
      </c>
      <c r="B514">
        <v>8.0000000000000004E-4</v>
      </c>
      <c r="C514">
        <v>0</v>
      </c>
      <c r="D514">
        <v>8.0000000000000004E-4</v>
      </c>
    </row>
    <row r="515" spans="1:4" x14ac:dyDescent="0.2">
      <c r="A515">
        <v>611</v>
      </c>
      <c r="B515">
        <v>8.0000000000000004E-4</v>
      </c>
      <c r="C515">
        <v>0</v>
      </c>
      <c r="D515">
        <v>8.0000000000000004E-4</v>
      </c>
    </row>
    <row r="516" spans="1:4" x14ac:dyDescent="0.2">
      <c r="A516">
        <v>612</v>
      </c>
      <c r="B516">
        <v>8.0000000000000004E-4</v>
      </c>
      <c r="C516">
        <v>0</v>
      </c>
      <c r="D516">
        <v>8.0000000000000004E-4</v>
      </c>
    </row>
    <row r="517" spans="1:4" x14ac:dyDescent="0.2">
      <c r="A517">
        <v>613</v>
      </c>
      <c r="B517">
        <v>8.0000000000000004E-4</v>
      </c>
      <c r="C517">
        <v>0</v>
      </c>
      <c r="D517">
        <v>8.0000000000000004E-4</v>
      </c>
    </row>
    <row r="518" spans="1:4" x14ac:dyDescent="0.2">
      <c r="A518">
        <v>614</v>
      </c>
      <c r="B518">
        <v>8.0000000000000004E-4</v>
      </c>
      <c r="C518">
        <v>0</v>
      </c>
      <c r="D518">
        <v>8.0000000000000004E-4</v>
      </c>
    </row>
    <row r="519" spans="1:4" x14ac:dyDescent="0.2">
      <c r="A519">
        <v>615</v>
      </c>
      <c r="B519">
        <v>8.0000000000000004E-4</v>
      </c>
      <c r="C519">
        <v>0</v>
      </c>
      <c r="D519">
        <v>8.0000000000000004E-4</v>
      </c>
    </row>
    <row r="520" spans="1:4" x14ac:dyDescent="0.2">
      <c r="A520">
        <v>616</v>
      </c>
      <c r="B520">
        <v>8.0000000000000004E-4</v>
      </c>
      <c r="C520">
        <v>0</v>
      </c>
      <c r="D520">
        <v>8.0000000000000004E-4</v>
      </c>
    </row>
    <row r="521" spans="1:4" x14ac:dyDescent="0.2">
      <c r="A521">
        <v>617</v>
      </c>
      <c r="B521">
        <v>8.0000000000000004E-4</v>
      </c>
      <c r="C521">
        <v>0</v>
      </c>
      <c r="D521">
        <v>8.0000000000000004E-4</v>
      </c>
    </row>
    <row r="522" spans="1:4" x14ac:dyDescent="0.2">
      <c r="A522">
        <v>618</v>
      </c>
      <c r="B522">
        <v>8.0000000000000004E-4</v>
      </c>
      <c r="C522">
        <v>0</v>
      </c>
      <c r="D522">
        <v>8.0000000000000004E-4</v>
      </c>
    </row>
    <row r="523" spans="1:4" x14ac:dyDescent="0.2">
      <c r="A523">
        <v>619</v>
      </c>
      <c r="B523">
        <v>8.0000000000000004E-4</v>
      </c>
      <c r="C523">
        <v>0</v>
      </c>
      <c r="D523">
        <v>8.0000000000000004E-4</v>
      </c>
    </row>
    <row r="524" spans="1:4" x14ac:dyDescent="0.2">
      <c r="A524">
        <v>620</v>
      </c>
      <c r="B524">
        <v>8.0000000000000004E-4</v>
      </c>
      <c r="C524">
        <v>0</v>
      </c>
      <c r="D524">
        <v>8.0000000000000004E-4</v>
      </c>
    </row>
    <row r="525" spans="1:4" x14ac:dyDescent="0.2">
      <c r="A525">
        <v>621</v>
      </c>
      <c r="B525">
        <v>8.0000000000000004E-4</v>
      </c>
      <c r="C525">
        <v>0</v>
      </c>
      <c r="D525">
        <v>8.0000000000000004E-4</v>
      </c>
    </row>
    <row r="526" spans="1:4" x14ac:dyDescent="0.2">
      <c r="A526">
        <v>622</v>
      </c>
      <c r="B526">
        <v>8.0000000000000004E-4</v>
      </c>
      <c r="C526">
        <v>0</v>
      </c>
      <c r="D526">
        <v>8.0000000000000004E-4</v>
      </c>
    </row>
    <row r="527" spans="1:4" x14ac:dyDescent="0.2">
      <c r="A527">
        <v>623</v>
      </c>
      <c r="B527">
        <v>8.0000000000000004E-4</v>
      </c>
      <c r="C527">
        <v>0</v>
      </c>
      <c r="D527">
        <v>8.0000000000000004E-4</v>
      </c>
    </row>
    <row r="528" spans="1:4" x14ac:dyDescent="0.2">
      <c r="A528">
        <v>624</v>
      </c>
      <c r="B528">
        <v>8.0000000000000004E-4</v>
      </c>
      <c r="C528">
        <v>0</v>
      </c>
      <c r="D528">
        <v>8.0000000000000004E-4</v>
      </c>
    </row>
    <row r="529" spans="1:4" x14ac:dyDescent="0.2">
      <c r="A529">
        <v>625</v>
      </c>
      <c r="B529">
        <v>8.0000000000000004E-4</v>
      </c>
      <c r="C529">
        <v>0</v>
      </c>
      <c r="D529">
        <v>8.0000000000000004E-4</v>
      </c>
    </row>
    <row r="530" spans="1:4" x14ac:dyDescent="0.2">
      <c r="A530">
        <v>626</v>
      </c>
      <c r="B530">
        <v>8.0000000000000004E-4</v>
      </c>
      <c r="C530">
        <v>0</v>
      </c>
      <c r="D530">
        <v>8.0000000000000004E-4</v>
      </c>
    </row>
    <row r="531" spans="1:4" x14ac:dyDescent="0.2">
      <c r="A531">
        <v>627</v>
      </c>
      <c r="B531">
        <v>8.0000000000000004E-4</v>
      </c>
      <c r="C531">
        <v>0</v>
      </c>
      <c r="D531">
        <v>8.0000000000000004E-4</v>
      </c>
    </row>
    <row r="532" spans="1:4" x14ac:dyDescent="0.2">
      <c r="A532">
        <v>628</v>
      </c>
      <c r="B532">
        <v>8.0000000000000004E-4</v>
      </c>
      <c r="C532">
        <v>0</v>
      </c>
      <c r="D532">
        <v>8.0000000000000004E-4</v>
      </c>
    </row>
    <row r="533" spans="1:4" x14ac:dyDescent="0.2">
      <c r="A533">
        <v>629</v>
      </c>
      <c r="B533">
        <v>8.0000000000000004E-4</v>
      </c>
      <c r="C533">
        <v>0</v>
      </c>
      <c r="D533">
        <v>8.0000000000000004E-4</v>
      </c>
    </row>
    <row r="534" spans="1:4" x14ac:dyDescent="0.2">
      <c r="A534">
        <v>630</v>
      </c>
      <c r="B534">
        <v>8.0000000000000004E-4</v>
      </c>
      <c r="C534">
        <v>0</v>
      </c>
      <c r="D534">
        <v>8.0000000000000004E-4</v>
      </c>
    </row>
    <row r="535" spans="1:4" x14ac:dyDescent="0.2">
      <c r="A535">
        <v>631</v>
      </c>
      <c r="B535">
        <v>8.0000000000000004E-4</v>
      </c>
      <c r="C535">
        <v>0</v>
      </c>
      <c r="D535">
        <v>8.0000000000000004E-4</v>
      </c>
    </row>
    <row r="536" spans="1:4" x14ac:dyDescent="0.2">
      <c r="A536">
        <v>632</v>
      </c>
      <c r="B536">
        <v>8.0000000000000004E-4</v>
      </c>
      <c r="C536">
        <v>0</v>
      </c>
      <c r="D536">
        <v>8.0000000000000004E-4</v>
      </c>
    </row>
    <row r="537" spans="1:4" x14ac:dyDescent="0.2">
      <c r="A537">
        <v>633</v>
      </c>
      <c r="B537">
        <v>8.0000000000000004E-4</v>
      </c>
      <c r="C537">
        <v>0</v>
      </c>
      <c r="D537">
        <v>8.0000000000000004E-4</v>
      </c>
    </row>
    <row r="538" spans="1:4" x14ac:dyDescent="0.2">
      <c r="A538">
        <v>634</v>
      </c>
      <c r="B538">
        <v>8.0000000000000004E-4</v>
      </c>
      <c r="C538">
        <v>0</v>
      </c>
      <c r="D538">
        <v>8.0000000000000004E-4</v>
      </c>
    </row>
    <row r="539" spans="1:4" x14ac:dyDescent="0.2">
      <c r="A539">
        <v>635</v>
      </c>
      <c r="B539">
        <v>8.0000000000000004E-4</v>
      </c>
      <c r="C539">
        <v>0</v>
      </c>
      <c r="D539">
        <v>8.0000000000000004E-4</v>
      </c>
    </row>
    <row r="540" spans="1:4" x14ac:dyDescent="0.2">
      <c r="A540">
        <v>636</v>
      </c>
      <c r="B540">
        <v>8.0000000000000004E-4</v>
      </c>
      <c r="C540">
        <v>0</v>
      </c>
      <c r="D540">
        <v>8.0000000000000004E-4</v>
      </c>
    </row>
    <row r="541" spans="1:4" x14ac:dyDescent="0.2">
      <c r="A541">
        <v>637</v>
      </c>
      <c r="B541">
        <v>8.0000000000000004E-4</v>
      </c>
      <c r="C541">
        <v>0</v>
      </c>
      <c r="D541">
        <v>8.0000000000000004E-4</v>
      </c>
    </row>
    <row r="542" spans="1:4" x14ac:dyDescent="0.2">
      <c r="A542">
        <v>638</v>
      </c>
      <c r="B542">
        <v>8.0000000000000004E-4</v>
      </c>
      <c r="C542">
        <v>0</v>
      </c>
      <c r="D542">
        <v>8.0000000000000004E-4</v>
      </c>
    </row>
    <row r="543" spans="1:4" x14ac:dyDescent="0.2">
      <c r="A543">
        <v>639</v>
      </c>
      <c r="B543">
        <v>8.0000000000000004E-4</v>
      </c>
      <c r="C543">
        <v>0</v>
      </c>
      <c r="D543">
        <v>8.0000000000000004E-4</v>
      </c>
    </row>
    <row r="544" spans="1:4" x14ac:dyDescent="0.2">
      <c r="A544">
        <v>640</v>
      </c>
      <c r="B544">
        <v>8.0000000000000004E-4</v>
      </c>
      <c r="C544">
        <v>0</v>
      </c>
      <c r="D544">
        <v>8.0000000000000004E-4</v>
      </c>
    </row>
    <row r="545" spans="1:4" x14ac:dyDescent="0.2">
      <c r="A545">
        <v>641</v>
      </c>
      <c r="B545">
        <v>8.0000000000000004E-4</v>
      </c>
      <c r="C545">
        <v>0</v>
      </c>
      <c r="D545">
        <v>8.0000000000000004E-4</v>
      </c>
    </row>
    <row r="546" spans="1:4" x14ac:dyDescent="0.2">
      <c r="A546">
        <v>642</v>
      </c>
      <c r="B546">
        <v>8.0000000000000004E-4</v>
      </c>
      <c r="C546">
        <v>0</v>
      </c>
      <c r="D546">
        <v>8.0000000000000004E-4</v>
      </c>
    </row>
    <row r="547" spans="1:4" x14ac:dyDescent="0.2">
      <c r="A547">
        <v>643</v>
      </c>
      <c r="B547">
        <v>8.0000000000000004E-4</v>
      </c>
      <c r="C547">
        <v>0</v>
      </c>
      <c r="D547">
        <v>8.0000000000000004E-4</v>
      </c>
    </row>
    <row r="548" spans="1:4" x14ac:dyDescent="0.2">
      <c r="A548">
        <v>644</v>
      </c>
      <c r="B548">
        <v>8.0000000000000004E-4</v>
      </c>
      <c r="C548">
        <v>0</v>
      </c>
      <c r="D548">
        <v>8.0000000000000004E-4</v>
      </c>
    </row>
    <row r="549" spans="1:4" x14ac:dyDescent="0.2">
      <c r="A549">
        <v>645</v>
      </c>
      <c r="B549">
        <v>8.0000000000000004E-4</v>
      </c>
      <c r="C549">
        <v>0</v>
      </c>
      <c r="D549">
        <v>8.0000000000000004E-4</v>
      </c>
    </row>
    <row r="550" spans="1:4" x14ac:dyDescent="0.2">
      <c r="A550">
        <v>646</v>
      </c>
      <c r="B550">
        <v>8.0000000000000004E-4</v>
      </c>
      <c r="C550">
        <v>0</v>
      </c>
      <c r="D550">
        <v>8.0000000000000004E-4</v>
      </c>
    </row>
    <row r="551" spans="1:4" x14ac:dyDescent="0.2">
      <c r="A551">
        <v>647</v>
      </c>
      <c r="B551">
        <v>8.0000000000000004E-4</v>
      </c>
      <c r="C551">
        <v>0</v>
      </c>
      <c r="D551">
        <v>8.0000000000000004E-4</v>
      </c>
    </row>
    <row r="552" spans="1:4" x14ac:dyDescent="0.2">
      <c r="A552">
        <v>648</v>
      </c>
      <c r="B552">
        <v>8.0000000000000004E-4</v>
      </c>
      <c r="C552">
        <v>0</v>
      </c>
      <c r="D552">
        <v>8.0000000000000004E-4</v>
      </c>
    </row>
    <row r="553" spans="1:4" x14ac:dyDescent="0.2">
      <c r="A553">
        <v>649</v>
      </c>
      <c r="B553">
        <v>8.0000000000000004E-4</v>
      </c>
      <c r="C553">
        <v>0</v>
      </c>
      <c r="D553">
        <v>8.0000000000000004E-4</v>
      </c>
    </row>
    <row r="554" spans="1:4" x14ac:dyDescent="0.2">
      <c r="A554">
        <v>650</v>
      </c>
      <c r="B554">
        <v>8.0000000000000004E-4</v>
      </c>
      <c r="C554">
        <v>0</v>
      </c>
      <c r="D554">
        <v>8.0000000000000004E-4</v>
      </c>
    </row>
    <row r="555" spans="1:4" x14ac:dyDescent="0.2">
      <c r="A555">
        <v>651</v>
      </c>
      <c r="B555">
        <v>8.0000000000000004E-4</v>
      </c>
      <c r="C555">
        <v>0</v>
      </c>
      <c r="D555">
        <v>8.0000000000000004E-4</v>
      </c>
    </row>
    <row r="556" spans="1:4" x14ac:dyDescent="0.2">
      <c r="A556">
        <v>652</v>
      </c>
      <c r="B556">
        <v>8.0000000000000004E-4</v>
      </c>
      <c r="C556">
        <v>0</v>
      </c>
      <c r="D556">
        <v>8.0000000000000004E-4</v>
      </c>
    </row>
    <row r="557" spans="1:4" x14ac:dyDescent="0.2">
      <c r="A557">
        <v>653</v>
      </c>
      <c r="B557">
        <v>8.0000000000000004E-4</v>
      </c>
      <c r="C557">
        <v>0</v>
      </c>
      <c r="D557">
        <v>8.0000000000000004E-4</v>
      </c>
    </row>
    <row r="558" spans="1:4" x14ac:dyDescent="0.2">
      <c r="A558">
        <v>654</v>
      </c>
      <c r="B558">
        <v>8.0000000000000004E-4</v>
      </c>
      <c r="C558">
        <v>0</v>
      </c>
      <c r="D558">
        <v>8.0000000000000004E-4</v>
      </c>
    </row>
    <row r="559" spans="1:4" x14ac:dyDescent="0.2">
      <c r="A559">
        <v>655</v>
      </c>
      <c r="B559">
        <v>8.0000000000000004E-4</v>
      </c>
      <c r="C559">
        <v>0</v>
      </c>
      <c r="D559">
        <v>8.0000000000000004E-4</v>
      </c>
    </row>
    <row r="560" spans="1:4" x14ac:dyDescent="0.2">
      <c r="A560">
        <v>656</v>
      </c>
      <c r="B560">
        <v>8.0000000000000004E-4</v>
      </c>
      <c r="C560">
        <v>0</v>
      </c>
      <c r="D560">
        <v>8.0000000000000004E-4</v>
      </c>
    </row>
    <row r="561" spans="1:4" x14ac:dyDescent="0.2">
      <c r="A561">
        <v>657</v>
      </c>
      <c r="B561">
        <v>8.0000000000000004E-4</v>
      </c>
      <c r="C561">
        <v>0</v>
      </c>
      <c r="D561">
        <v>8.0000000000000004E-4</v>
      </c>
    </row>
    <row r="562" spans="1:4" x14ac:dyDescent="0.2">
      <c r="A562">
        <v>658</v>
      </c>
      <c r="B562">
        <v>8.0000000000000004E-4</v>
      </c>
      <c r="C562">
        <v>0</v>
      </c>
      <c r="D562">
        <v>8.0000000000000004E-4</v>
      </c>
    </row>
    <row r="563" spans="1:4" x14ac:dyDescent="0.2">
      <c r="A563">
        <v>659</v>
      </c>
      <c r="B563">
        <v>8.0000000000000004E-4</v>
      </c>
      <c r="C563">
        <v>0</v>
      </c>
      <c r="D563">
        <v>8.0000000000000004E-4</v>
      </c>
    </row>
    <row r="564" spans="1:4" x14ac:dyDescent="0.2">
      <c r="A564">
        <v>660</v>
      </c>
      <c r="B564">
        <v>8.0000000000000004E-4</v>
      </c>
      <c r="C564">
        <v>0</v>
      </c>
      <c r="D564">
        <v>8.0000000000000004E-4</v>
      </c>
    </row>
    <row r="565" spans="1:4" x14ac:dyDescent="0.2">
      <c r="A565">
        <v>661</v>
      </c>
      <c r="B565">
        <v>8.0000000000000004E-4</v>
      </c>
      <c r="C565">
        <v>0</v>
      </c>
      <c r="D565">
        <v>8.0000000000000004E-4</v>
      </c>
    </row>
    <row r="566" spans="1:4" x14ac:dyDescent="0.2">
      <c r="A566">
        <v>662</v>
      </c>
      <c r="B566">
        <v>8.0000000000000004E-4</v>
      </c>
      <c r="C566">
        <v>0</v>
      </c>
      <c r="D566">
        <v>8.0000000000000004E-4</v>
      </c>
    </row>
    <row r="567" spans="1:4" x14ac:dyDescent="0.2">
      <c r="A567">
        <v>663</v>
      </c>
      <c r="B567">
        <v>8.0000000000000004E-4</v>
      </c>
      <c r="C567">
        <v>0</v>
      </c>
      <c r="D567">
        <v>8.0000000000000004E-4</v>
      </c>
    </row>
    <row r="568" spans="1:4" x14ac:dyDescent="0.2">
      <c r="A568">
        <v>664</v>
      </c>
      <c r="B568">
        <v>8.0000000000000004E-4</v>
      </c>
      <c r="C568">
        <v>0</v>
      </c>
      <c r="D568">
        <v>8.0000000000000004E-4</v>
      </c>
    </row>
    <row r="569" spans="1:4" x14ac:dyDescent="0.2">
      <c r="A569">
        <v>665</v>
      </c>
      <c r="B569">
        <v>8.0000000000000004E-4</v>
      </c>
      <c r="C569">
        <v>0</v>
      </c>
      <c r="D569">
        <v>8.0000000000000004E-4</v>
      </c>
    </row>
    <row r="570" spans="1:4" x14ac:dyDescent="0.2">
      <c r="A570">
        <v>666</v>
      </c>
      <c r="B570">
        <v>8.0000000000000004E-4</v>
      </c>
      <c r="C570">
        <v>0</v>
      </c>
      <c r="D570">
        <v>8.0000000000000004E-4</v>
      </c>
    </row>
    <row r="571" spans="1:4" x14ac:dyDescent="0.2">
      <c r="A571">
        <v>667</v>
      </c>
      <c r="B571">
        <v>8.0000000000000004E-4</v>
      </c>
      <c r="C571">
        <v>0</v>
      </c>
      <c r="D571">
        <v>8.0000000000000004E-4</v>
      </c>
    </row>
    <row r="572" spans="1:4" x14ac:dyDescent="0.2">
      <c r="A572">
        <v>668</v>
      </c>
      <c r="B572">
        <v>8.0000000000000004E-4</v>
      </c>
      <c r="C572">
        <v>0</v>
      </c>
      <c r="D572">
        <v>8.0000000000000004E-4</v>
      </c>
    </row>
    <row r="573" spans="1:4" x14ac:dyDescent="0.2">
      <c r="A573">
        <v>669</v>
      </c>
      <c r="B573">
        <v>8.0000000000000004E-4</v>
      </c>
      <c r="C573">
        <v>0</v>
      </c>
      <c r="D573">
        <v>8.0000000000000004E-4</v>
      </c>
    </row>
    <row r="574" spans="1:4" x14ac:dyDescent="0.2">
      <c r="A574">
        <v>670</v>
      </c>
      <c r="B574">
        <v>8.0000000000000004E-4</v>
      </c>
      <c r="C574">
        <v>0</v>
      </c>
      <c r="D574">
        <v>8.0000000000000004E-4</v>
      </c>
    </row>
    <row r="575" spans="1:4" x14ac:dyDescent="0.2">
      <c r="A575">
        <v>671</v>
      </c>
      <c r="B575">
        <v>8.0000000000000004E-4</v>
      </c>
      <c r="C575">
        <v>0</v>
      </c>
      <c r="D575">
        <v>8.0000000000000004E-4</v>
      </c>
    </row>
    <row r="576" spans="1:4" x14ac:dyDescent="0.2">
      <c r="A576">
        <v>672</v>
      </c>
      <c r="B576">
        <v>8.0000000000000004E-4</v>
      </c>
      <c r="C576">
        <v>0</v>
      </c>
      <c r="D576">
        <v>8.0000000000000004E-4</v>
      </c>
    </row>
    <row r="577" spans="1:4" x14ac:dyDescent="0.2">
      <c r="A577">
        <v>673</v>
      </c>
      <c r="B577">
        <v>8.0000000000000004E-4</v>
      </c>
      <c r="C577">
        <v>0</v>
      </c>
      <c r="D577">
        <v>8.0000000000000004E-4</v>
      </c>
    </row>
    <row r="578" spans="1:4" x14ac:dyDescent="0.2">
      <c r="A578">
        <v>674</v>
      </c>
      <c r="B578">
        <v>8.0000000000000004E-4</v>
      </c>
      <c r="C578">
        <v>0</v>
      </c>
      <c r="D578">
        <v>8.0000000000000004E-4</v>
      </c>
    </row>
    <row r="579" spans="1:4" x14ac:dyDescent="0.2">
      <c r="A579">
        <v>675</v>
      </c>
      <c r="B579">
        <v>8.0000000000000004E-4</v>
      </c>
      <c r="C579">
        <v>0</v>
      </c>
      <c r="D579">
        <v>8.0000000000000004E-4</v>
      </c>
    </row>
    <row r="580" spans="1:4" x14ac:dyDescent="0.2">
      <c r="A580">
        <v>676</v>
      </c>
      <c r="B580">
        <v>8.0000000000000004E-4</v>
      </c>
      <c r="C580">
        <v>0</v>
      </c>
      <c r="D580">
        <v>8.0000000000000004E-4</v>
      </c>
    </row>
    <row r="581" spans="1:4" x14ac:dyDescent="0.2">
      <c r="A581">
        <v>677</v>
      </c>
      <c r="B581">
        <v>8.0000000000000004E-4</v>
      </c>
      <c r="C581">
        <v>0</v>
      </c>
      <c r="D581">
        <v>8.0000000000000004E-4</v>
      </c>
    </row>
    <row r="582" spans="1:4" x14ac:dyDescent="0.2">
      <c r="A582">
        <v>678</v>
      </c>
      <c r="B582">
        <v>8.0000000000000004E-4</v>
      </c>
      <c r="C582">
        <v>0</v>
      </c>
      <c r="D582">
        <v>8.0000000000000004E-4</v>
      </c>
    </row>
    <row r="583" spans="1:4" x14ac:dyDescent="0.2">
      <c r="A583">
        <v>679</v>
      </c>
      <c r="B583">
        <v>8.0000000000000004E-4</v>
      </c>
      <c r="C583">
        <v>0</v>
      </c>
      <c r="D583">
        <v>8.0000000000000004E-4</v>
      </c>
    </row>
    <row r="584" spans="1:4" x14ac:dyDescent="0.2">
      <c r="A584">
        <v>680</v>
      </c>
      <c r="B584">
        <v>8.0000000000000004E-4</v>
      </c>
      <c r="C584">
        <v>0</v>
      </c>
      <c r="D584">
        <v>8.0000000000000004E-4</v>
      </c>
    </row>
    <row r="585" spans="1:4" x14ac:dyDescent="0.2">
      <c r="A585">
        <v>681</v>
      </c>
      <c r="B585">
        <v>8.0000000000000004E-4</v>
      </c>
      <c r="C585">
        <v>0</v>
      </c>
      <c r="D585">
        <v>8.0000000000000004E-4</v>
      </c>
    </row>
    <row r="586" spans="1:4" x14ac:dyDescent="0.2">
      <c r="A586">
        <v>682</v>
      </c>
      <c r="B586">
        <v>8.0000000000000004E-4</v>
      </c>
      <c r="C586">
        <v>0</v>
      </c>
      <c r="D586">
        <v>8.0000000000000004E-4</v>
      </c>
    </row>
    <row r="587" spans="1:4" x14ac:dyDescent="0.2">
      <c r="A587">
        <v>683</v>
      </c>
      <c r="B587">
        <v>8.0000000000000004E-4</v>
      </c>
      <c r="C587">
        <v>0</v>
      </c>
      <c r="D587">
        <v>8.0000000000000004E-4</v>
      </c>
    </row>
    <row r="588" spans="1:4" x14ac:dyDescent="0.2">
      <c r="A588">
        <v>684</v>
      </c>
      <c r="B588">
        <v>8.0000000000000004E-4</v>
      </c>
      <c r="C588">
        <v>0</v>
      </c>
      <c r="D588">
        <v>8.0000000000000004E-4</v>
      </c>
    </row>
    <row r="589" spans="1:4" x14ac:dyDescent="0.2">
      <c r="A589">
        <v>685</v>
      </c>
      <c r="B589">
        <v>8.0000000000000004E-4</v>
      </c>
      <c r="C589">
        <v>0</v>
      </c>
      <c r="D589">
        <v>8.0000000000000004E-4</v>
      </c>
    </row>
    <row r="590" spans="1:4" x14ac:dyDescent="0.2">
      <c r="A590">
        <v>686</v>
      </c>
      <c r="B590">
        <v>8.0000000000000004E-4</v>
      </c>
      <c r="C590">
        <v>0</v>
      </c>
      <c r="D590">
        <v>8.0000000000000004E-4</v>
      </c>
    </row>
    <row r="591" spans="1:4" x14ac:dyDescent="0.2">
      <c r="A591">
        <v>687</v>
      </c>
      <c r="B591">
        <v>8.0000000000000004E-4</v>
      </c>
      <c r="C591">
        <v>0</v>
      </c>
      <c r="D591">
        <v>8.0000000000000004E-4</v>
      </c>
    </row>
    <row r="592" spans="1:4" x14ac:dyDescent="0.2">
      <c r="A592">
        <v>688</v>
      </c>
      <c r="B592">
        <v>8.0000000000000004E-4</v>
      </c>
      <c r="C592">
        <v>0</v>
      </c>
      <c r="D592">
        <v>8.0000000000000004E-4</v>
      </c>
    </row>
    <row r="593" spans="1:4" x14ac:dyDescent="0.2">
      <c r="A593">
        <v>689</v>
      </c>
      <c r="B593">
        <v>8.0000000000000004E-4</v>
      </c>
      <c r="C593">
        <v>0</v>
      </c>
      <c r="D593">
        <v>8.0000000000000004E-4</v>
      </c>
    </row>
    <row r="594" spans="1:4" x14ac:dyDescent="0.2">
      <c r="A594">
        <v>690</v>
      </c>
      <c r="B594">
        <v>8.0000000000000004E-4</v>
      </c>
      <c r="C594">
        <v>0</v>
      </c>
      <c r="D594">
        <v>8.0000000000000004E-4</v>
      </c>
    </row>
    <row r="595" spans="1:4" x14ac:dyDescent="0.2">
      <c r="A595">
        <v>691</v>
      </c>
      <c r="B595">
        <v>8.0000000000000004E-4</v>
      </c>
      <c r="C595">
        <v>0</v>
      </c>
      <c r="D595">
        <v>8.0000000000000004E-4</v>
      </c>
    </row>
    <row r="596" spans="1:4" x14ac:dyDescent="0.2">
      <c r="A596">
        <v>692</v>
      </c>
      <c r="B596">
        <v>8.0000000000000004E-4</v>
      </c>
      <c r="C596">
        <v>0</v>
      </c>
      <c r="D596">
        <v>8.0000000000000004E-4</v>
      </c>
    </row>
    <row r="597" spans="1:4" x14ac:dyDescent="0.2">
      <c r="A597">
        <v>693</v>
      </c>
      <c r="B597">
        <v>8.0000000000000004E-4</v>
      </c>
      <c r="C597">
        <v>0</v>
      </c>
      <c r="D597">
        <v>8.0000000000000004E-4</v>
      </c>
    </row>
    <row r="598" spans="1:4" x14ac:dyDescent="0.2">
      <c r="A598">
        <v>694</v>
      </c>
      <c r="B598">
        <v>8.0000000000000004E-4</v>
      </c>
      <c r="C598">
        <v>0</v>
      </c>
      <c r="D598">
        <v>8.0000000000000004E-4</v>
      </c>
    </row>
    <row r="599" spans="1:4" x14ac:dyDescent="0.2">
      <c r="A599">
        <v>695</v>
      </c>
      <c r="B599">
        <v>8.0000000000000004E-4</v>
      </c>
      <c r="C599">
        <v>0</v>
      </c>
      <c r="D599">
        <v>8.0000000000000004E-4</v>
      </c>
    </row>
    <row r="600" spans="1:4" x14ac:dyDescent="0.2">
      <c r="A600">
        <v>696</v>
      </c>
      <c r="B600">
        <v>8.0000000000000004E-4</v>
      </c>
      <c r="C600">
        <v>0</v>
      </c>
      <c r="D600">
        <v>8.0000000000000004E-4</v>
      </c>
    </row>
    <row r="601" spans="1:4" x14ac:dyDescent="0.2">
      <c r="A601">
        <v>697</v>
      </c>
      <c r="B601">
        <v>8.0000000000000004E-4</v>
      </c>
      <c r="C601">
        <v>0</v>
      </c>
      <c r="D601">
        <v>8.0000000000000004E-4</v>
      </c>
    </row>
    <row r="602" spans="1:4" x14ac:dyDescent="0.2">
      <c r="A602">
        <v>698</v>
      </c>
      <c r="B602">
        <v>8.0000000000000004E-4</v>
      </c>
      <c r="C602">
        <v>0</v>
      </c>
      <c r="D602">
        <v>8.0000000000000004E-4</v>
      </c>
    </row>
    <row r="603" spans="1:4" x14ac:dyDescent="0.2">
      <c r="A603">
        <v>699</v>
      </c>
      <c r="B603">
        <v>8.0000000000000004E-4</v>
      </c>
      <c r="C603">
        <v>0</v>
      </c>
      <c r="D603">
        <v>8.0000000000000004E-4</v>
      </c>
    </row>
    <row r="604" spans="1:4" x14ac:dyDescent="0.2">
      <c r="A604">
        <v>700</v>
      </c>
      <c r="B604">
        <v>8.0000000000000004E-4</v>
      </c>
      <c r="C604">
        <v>0</v>
      </c>
      <c r="D604">
        <v>8.0000000000000004E-4</v>
      </c>
    </row>
    <row r="605" spans="1:4" x14ac:dyDescent="0.2">
      <c r="A605">
        <v>701</v>
      </c>
      <c r="B605">
        <v>8.0000000000000004E-4</v>
      </c>
      <c r="C605">
        <v>0</v>
      </c>
      <c r="D605">
        <v>8.0000000000000004E-4</v>
      </c>
    </row>
    <row r="606" spans="1:4" x14ac:dyDescent="0.2">
      <c r="A606">
        <v>702</v>
      </c>
      <c r="B606">
        <v>8.0000000000000004E-4</v>
      </c>
      <c r="C606">
        <v>0</v>
      </c>
      <c r="D606">
        <v>8.0000000000000004E-4</v>
      </c>
    </row>
    <row r="607" spans="1:4" x14ac:dyDescent="0.2">
      <c r="A607">
        <v>703</v>
      </c>
      <c r="B607">
        <v>8.0000000000000004E-4</v>
      </c>
      <c r="C607">
        <v>0</v>
      </c>
      <c r="D607">
        <v>8.0000000000000004E-4</v>
      </c>
    </row>
    <row r="608" spans="1:4" x14ac:dyDescent="0.2">
      <c r="A608">
        <v>704</v>
      </c>
      <c r="B608">
        <v>8.9999999999999998E-4</v>
      </c>
      <c r="C608">
        <v>0</v>
      </c>
      <c r="D608">
        <v>8.9999999999999998E-4</v>
      </c>
    </row>
    <row r="609" spans="1:4" x14ac:dyDescent="0.2">
      <c r="A609">
        <v>705</v>
      </c>
      <c r="B609">
        <v>8.9999999999999998E-4</v>
      </c>
      <c r="C609">
        <v>0</v>
      </c>
      <c r="D609">
        <v>8.9999999999999998E-4</v>
      </c>
    </row>
    <row r="610" spans="1:4" x14ac:dyDescent="0.2">
      <c r="A610">
        <v>706</v>
      </c>
      <c r="B610">
        <v>8.9999999999999998E-4</v>
      </c>
      <c r="C610">
        <v>0</v>
      </c>
      <c r="D610">
        <v>8.9999999999999998E-4</v>
      </c>
    </row>
    <row r="611" spans="1:4" x14ac:dyDescent="0.2">
      <c r="A611">
        <v>707</v>
      </c>
      <c r="B611">
        <v>8.9999999999999998E-4</v>
      </c>
      <c r="C611">
        <v>0</v>
      </c>
      <c r="D611">
        <v>8.9999999999999998E-4</v>
      </c>
    </row>
    <row r="612" spans="1:4" x14ac:dyDescent="0.2">
      <c r="A612">
        <v>708</v>
      </c>
      <c r="B612">
        <v>8.9999999999999998E-4</v>
      </c>
      <c r="C612">
        <v>0</v>
      </c>
      <c r="D612">
        <v>8.9999999999999998E-4</v>
      </c>
    </row>
    <row r="613" spans="1:4" x14ac:dyDescent="0.2">
      <c r="A613">
        <v>709</v>
      </c>
      <c r="B613">
        <v>8.9999999999999998E-4</v>
      </c>
      <c r="C613">
        <v>0</v>
      </c>
      <c r="D613">
        <v>8.9999999999999998E-4</v>
      </c>
    </row>
    <row r="614" spans="1:4" x14ac:dyDescent="0.2">
      <c r="A614">
        <v>710</v>
      </c>
      <c r="B614">
        <v>8.9999999999999998E-4</v>
      </c>
      <c r="C614">
        <v>0</v>
      </c>
      <c r="D614">
        <v>8.9999999999999998E-4</v>
      </c>
    </row>
    <row r="615" spans="1:4" x14ac:dyDescent="0.2">
      <c r="A615">
        <v>711</v>
      </c>
      <c r="B615">
        <v>8.9999999999999998E-4</v>
      </c>
      <c r="C615">
        <v>0</v>
      </c>
      <c r="D615">
        <v>8.9999999999999998E-4</v>
      </c>
    </row>
    <row r="616" spans="1:4" x14ac:dyDescent="0.2">
      <c r="A616">
        <v>712</v>
      </c>
      <c r="B616">
        <v>8.9999999999999998E-4</v>
      </c>
      <c r="C616">
        <v>0</v>
      </c>
      <c r="D616">
        <v>8.9999999999999998E-4</v>
      </c>
    </row>
    <row r="617" spans="1:4" x14ac:dyDescent="0.2">
      <c r="A617">
        <v>713</v>
      </c>
      <c r="B617">
        <v>8.9999999999999998E-4</v>
      </c>
      <c r="C617">
        <v>0</v>
      </c>
      <c r="D617">
        <v>8.9999999999999998E-4</v>
      </c>
    </row>
    <row r="618" spans="1:4" x14ac:dyDescent="0.2">
      <c r="A618">
        <v>714</v>
      </c>
      <c r="B618">
        <v>8.9999999999999998E-4</v>
      </c>
      <c r="C618">
        <v>0</v>
      </c>
      <c r="D618">
        <v>8.9999999999999998E-4</v>
      </c>
    </row>
    <row r="619" spans="1:4" x14ac:dyDescent="0.2">
      <c r="A619">
        <v>715</v>
      </c>
      <c r="B619">
        <v>8.9999999999999998E-4</v>
      </c>
      <c r="C619">
        <v>0</v>
      </c>
      <c r="D619">
        <v>8.9999999999999998E-4</v>
      </c>
    </row>
    <row r="620" spans="1:4" x14ac:dyDescent="0.2">
      <c r="A620">
        <v>716</v>
      </c>
      <c r="B620">
        <v>8.9999999999999998E-4</v>
      </c>
      <c r="C620">
        <v>0</v>
      </c>
      <c r="D620">
        <v>8.9999999999999998E-4</v>
      </c>
    </row>
    <row r="621" spans="1:4" x14ac:dyDescent="0.2">
      <c r="A621">
        <v>717</v>
      </c>
      <c r="B621">
        <v>8.9999999999999998E-4</v>
      </c>
      <c r="C621">
        <v>0</v>
      </c>
      <c r="D621">
        <v>8.9999999999999998E-4</v>
      </c>
    </row>
    <row r="622" spans="1:4" x14ac:dyDescent="0.2">
      <c r="A622">
        <v>718</v>
      </c>
      <c r="B622">
        <v>8.9999999999999998E-4</v>
      </c>
      <c r="C622">
        <v>0</v>
      </c>
      <c r="D622">
        <v>8.9999999999999998E-4</v>
      </c>
    </row>
    <row r="623" spans="1:4" x14ac:dyDescent="0.2">
      <c r="A623">
        <v>719</v>
      </c>
      <c r="B623">
        <v>8.9999999999999998E-4</v>
      </c>
      <c r="C623">
        <v>0</v>
      </c>
      <c r="D623">
        <v>8.9999999999999998E-4</v>
      </c>
    </row>
    <row r="624" spans="1:4" x14ac:dyDescent="0.2">
      <c r="A624">
        <v>720</v>
      </c>
      <c r="B624">
        <v>8.9999999999999998E-4</v>
      </c>
      <c r="C624">
        <v>0</v>
      </c>
      <c r="D624">
        <v>8.9999999999999998E-4</v>
      </c>
    </row>
    <row r="625" spans="1:4" x14ac:dyDescent="0.2">
      <c r="A625">
        <v>721</v>
      </c>
      <c r="B625">
        <v>8.9999999999999998E-4</v>
      </c>
      <c r="C625">
        <v>0</v>
      </c>
      <c r="D625">
        <v>8.9999999999999998E-4</v>
      </c>
    </row>
    <row r="626" spans="1:4" x14ac:dyDescent="0.2">
      <c r="A626">
        <v>722</v>
      </c>
      <c r="B626">
        <v>8.9999999999999998E-4</v>
      </c>
      <c r="C626">
        <v>0</v>
      </c>
      <c r="D626">
        <v>8.9999999999999998E-4</v>
      </c>
    </row>
    <row r="627" spans="1:4" x14ac:dyDescent="0.2">
      <c r="A627">
        <v>723</v>
      </c>
      <c r="B627">
        <v>8.9999999999999998E-4</v>
      </c>
      <c r="C627">
        <v>0</v>
      </c>
      <c r="D627">
        <v>8.9999999999999998E-4</v>
      </c>
    </row>
    <row r="628" spans="1:4" x14ac:dyDescent="0.2">
      <c r="A628">
        <v>724</v>
      </c>
      <c r="B628">
        <v>8.9999999999999998E-4</v>
      </c>
      <c r="C628">
        <v>0</v>
      </c>
      <c r="D628">
        <v>8.9999999999999998E-4</v>
      </c>
    </row>
    <row r="629" spans="1:4" x14ac:dyDescent="0.2">
      <c r="A629">
        <v>725</v>
      </c>
      <c r="B629">
        <v>8.9999999999999998E-4</v>
      </c>
      <c r="C629">
        <v>0</v>
      </c>
      <c r="D629">
        <v>8.9999999999999998E-4</v>
      </c>
    </row>
    <row r="630" spans="1:4" x14ac:dyDescent="0.2">
      <c r="A630">
        <v>726</v>
      </c>
      <c r="B630">
        <v>8.9999999999999998E-4</v>
      </c>
      <c r="C630">
        <v>0</v>
      </c>
      <c r="D630">
        <v>8.9999999999999998E-4</v>
      </c>
    </row>
    <row r="631" spans="1:4" x14ac:dyDescent="0.2">
      <c r="A631">
        <v>727</v>
      </c>
      <c r="B631">
        <v>8.9999999999999998E-4</v>
      </c>
      <c r="C631">
        <v>0</v>
      </c>
      <c r="D631">
        <v>8.9999999999999998E-4</v>
      </c>
    </row>
    <row r="632" spans="1:4" x14ac:dyDescent="0.2">
      <c r="A632">
        <v>728</v>
      </c>
      <c r="B632">
        <v>8.9999999999999998E-4</v>
      </c>
      <c r="C632">
        <v>0</v>
      </c>
      <c r="D632">
        <v>8.9999999999999998E-4</v>
      </c>
    </row>
    <row r="633" spans="1:4" x14ac:dyDescent="0.2">
      <c r="A633">
        <v>729</v>
      </c>
      <c r="B633">
        <v>8.9999999999999998E-4</v>
      </c>
      <c r="C633">
        <v>0</v>
      </c>
      <c r="D633">
        <v>8.9999999999999998E-4</v>
      </c>
    </row>
    <row r="634" spans="1:4" x14ac:dyDescent="0.2">
      <c r="A634">
        <v>730</v>
      </c>
      <c r="B634">
        <v>8.9999999999999998E-4</v>
      </c>
      <c r="C634">
        <v>0</v>
      </c>
      <c r="D634">
        <v>8.9999999999999998E-4</v>
      </c>
    </row>
    <row r="635" spans="1:4" x14ac:dyDescent="0.2">
      <c r="A635">
        <v>731</v>
      </c>
      <c r="B635">
        <v>8.9999999999999998E-4</v>
      </c>
      <c r="C635">
        <v>0</v>
      </c>
      <c r="D635">
        <v>8.9999999999999998E-4</v>
      </c>
    </row>
    <row r="636" spans="1:4" x14ac:dyDescent="0.2">
      <c r="A636">
        <v>732</v>
      </c>
      <c r="B636">
        <v>8.9999999999999998E-4</v>
      </c>
      <c r="C636">
        <v>0</v>
      </c>
      <c r="D636">
        <v>8.9999999999999998E-4</v>
      </c>
    </row>
    <row r="637" spans="1:4" x14ac:dyDescent="0.2">
      <c r="A637">
        <v>733</v>
      </c>
      <c r="B637">
        <v>1E-3</v>
      </c>
      <c r="C637">
        <v>0</v>
      </c>
      <c r="D637">
        <v>1E-3</v>
      </c>
    </row>
    <row r="638" spans="1:4" x14ac:dyDescent="0.2">
      <c r="A638">
        <v>734</v>
      </c>
      <c r="B638">
        <v>1E-3</v>
      </c>
      <c r="C638">
        <v>0</v>
      </c>
      <c r="D638">
        <v>1E-3</v>
      </c>
    </row>
    <row r="639" spans="1:4" x14ac:dyDescent="0.2">
      <c r="A639">
        <v>735</v>
      </c>
      <c r="B639">
        <v>1E-3</v>
      </c>
      <c r="C639">
        <v>0</v>
      </c>
      <c r="D639">
        <v>1E-3</v>
      </c>
    </row>
    <row r="640" spans="1:4" x14ac:dyDescent="0.2">
      <c r="A640">
        <v>736</v>
      </c>
      <c r="B640">
        <v>1E-3</v>
      </c>
      <c r="C640">
        <v>1E-4</v>
      </c>
      <c r="D640">
        <v>8.9999999999999998E-4</v>
      </c>
    </row>
    <row r="641" spans="1:4" x14ac:dyDescent="0.2">
      <c r="A641">
        <v>737</v>
      </c>
      <c r="B641">
        <v>1E-3</v>
      </c>
      <c r="C641">
        <v>1E-4</v>
      </c>
      <c r="D641">
        <v>8.9999999999999998E-4</v>
      </c>
    </row>
    <row r="642" spans="1:4" x14ac:dyDescent="0.2">
      <c r="A642">
        <v>738</v>
      </c>
      <c r="B642">
        <v>1E-3</v>
      </c>
      <c r="C642">
        <v>1E-4</v>
      </c>
      <c r="D642">
        <v>8.9999999999999998E-4</v>
      </c>
    </row>
    <row r="643" spans="1:4" x14ac:dyDescent="0.2">
      <c r="A643">
        <v>739</v>
      </c>
      <c r="B643">
        <v>1E-3</v>
      </c>
      <c r="C643">
        <v>1E-4</v>
      </c>
      <c r="D643">
        <v>8.9999999999999998E-4</v>
      </c>
    </row>
    <row r="644" spans="1:4" x14ac:dyDescent="0.2">
      <c r="A644">
        <v>740</v>
      </c>
      <c r="B644">
        <v>1E-3</v>
      </c>
      <c r="C644">
        <v>1E-4</v>
      </c>
      <c r="D644">
        <v>8.9999999999999998E-4</v>
      </c>
    </row>
    <row r="645" spans="1:4" x14ac:dyDescent="0.2">
      <c r="A645">
        <v>741</v>
      </c>
      <c r="B645">
        <v>1E-3</v>
      </c>
      <c r="C645">
        <v>1E-4</v>
      </c>
      <c r="D645">
        <v>8.9999999999999998E-4</v>
      </c>
    </row>
    <row r="646" spans="1:4" x14ac:dyDescent="0.2">
      <c r="A646">
        <v>742</v>
      </c>
      <c r="B646">
        <v>1E-3</v>
      </c>
      <c r="C646">
        <v>1E-4</v>
      </c>
      <c r="D646">
        <v>8.9999999999999998E-4</v>
      </c>
    </row>
    <row r="647" spans="1:4" x14ac:dyDescent="0.2">
      <c r="A647">
        <v>743</v>
      </c>
      <c r="B647">
        <v>1E-3</v>
      </c>
      <c r="C647">
        <v>1E-4</v>
      </c>
      <c r="D647">
        <v>8.9999999999999998E-4</v>
      </c>
    </row>
    <row r="648" spans="1:4" x14ac:dyDescent="0.2">
      <c r="A648">
        <v>744</v>
      </c>
      <c r="B648">
        <v>1.1000000000000001E-3</v>
      </c>
      <c r="C648">
        <v>1E-4</v>
      </c>
      <c r="D648">
        <v>1E-3</v>
      </c>
    </row>
    <row r="649" spans="1:4" x14ac:dyDescent="0.2">
      <c r="A649">
        <v>745</v>
      </c>
      <c r="B649">
        <v>1.1000000000000001E-3</v>
      </c>
      <c r="C649">
        <v>1E-4</v>
      </c>
      <c r="D649">
        <v>1E-3</v>
      </c>
    </row>
    <row r="650" spans="1:4" x14ac:dyDescent="0.2">
      <c r="A650">
        <v>746</v>
      </c>
      <c r="B650">
        <v>1.1000000000000001E-3</v>
      </c>
      <c r="C650">
        <v>1E-4</v>
      </c>
      <c r="D650">
        <v>1E-3</v>
      </c>
    </row>
    <row r="651" spans="1:4" x14ac:dyDescent="0.2">
      <c r="A651">
        <v>747</v>
      </c>
      <c r="B651">
        <v>1.1000000000000001E-3</v>
      </c>
      <c r="C651">
        <v>1E-4</v>
      </c>
      <c r="D651">
        <v>1E-3</v>
      </c>
    </row>
    <row r="652" spans="1:4" x14ac:dyDescent="0.2">
      <c r="A652">
        <v>748</v>
      </c>
      <c r="B652">
        <v>1.1000000000000001E-3</v>
      </c>
      <c r="C652">
        <v>1E-4</v>
      </c>
      <c r="D652">
        <v>1E-3</v>
      </c>
    </row>
    <row r="653" spans="1:4" x14ac:dyDescent="0.2">
      <c r="A653">
        <v>749</v>
      </c>
      <c r="B653">
        <v>1.1000000000000001E-3</v>
      </c>
      <c r="C653">
        <v>1E-4</v>
      </c>
      <c r="D653">
        <v>1E-3</v>
      </c>
    </row>
    <row r="654" spans="1:4" x14ac:dyDescent="0.2">
      <c r="A654">
        <v>750</v>
      </c>
      <c r="B654">
        <v>1.1000000000000001E-3</v>
      </c>
      <c r="C654">
        <v>1E-4</v>
      </c>
      <c r="D654">
        <v>1E-3</v>
      </c>
    </row>
    <row r="655" spans="1:4" x14ac:dyDescent="0.2">
      <c r="A655">
        <v>751</v>
      </c>
      <c r="B655">
        <v>1.1000000000000001E-3</v>
      </c>
      <c r="C655">
        <v>1E-4</v>
      </c>
      <c r="D655">
        <v>1E-3</v>
      </c>
    </row>
    <row r="656" spans="1:4" x14ac:dyDescent="0.2">
      <c r="A656">
        <v>752</v>
      </c>
      <c r="B656">
        <v>1.1000000000000001E-3</v>
      </c>
      <c r="C656">
        <v>1E-4</v>
      </c>
      <c r="D656">
        <v>1E-3</v>
      </c>
    </row>
    <row r="657" spans="1:4" x14ac:dyDescent="0.2">
      <c r="A657">
        <v>753</v>
      </c>
      <c r="B657">
        <v>1.1000000000000001E-3</v>
      </c>
      <c r="C657">
        <v>1E-4</v>
      </c>
      <c r="D657">
        <v>1E-3</v>
      </c>
    </row>
    <row r="658" spans="1:4" x14ac:dyDescent="0.2">
      <c r="A658">
        <v>754</v>
      </c>
      <c r="B658">
        <v>1.1000000000000001E-3</v>
      </c>
      <c r="C658">
        <v>1E-4</v>
      </c>
      <c r="D658">
        <v>1E-3</v>
      </c>
    </row>
    <row r="659" spans="1:4" x14ac:dyDescent="0.2">
      <c r="A659">
        <v>755</v>
      </c>
      <c r="B659">
        <v>1.1999999999999999E-3</v>
      </c>
      <c r="C659">
        <v>1E-4</v>
      </c>
      <c r="D659">
        <v>1.1000000000000001E-3</v>
      </c>
    </row>
    <row r="660" spans="1:4" x14ac:dyDescent="0.2">
      <c r="A660">
        <v>756</v>
      </c>
      <c r="B660">
        <v>1.1999999999999999E-3</v>
      </c>
      <c r="C660">
        <v>1E-4</v>
      </c>
      <c r="D660">
        <v>1.1000000000000001E-3</v>
      </c>
    </row>
    <row r="661" spans="1:4" x14ac:dyDescent="0.2">
      <c r="A661">
        <v>757</v>
      </c>
      <c r="B661">
        <v>1.1999999999999999E-3</v>
      </c>
      <c r="C661">
        <v>1E-4</v>
      </c>
      <c r="D661">
        <v>1.1000000000000001E-3</v>
      </c>
    </row>
    <row r="662" spans="1:4" x14ac:dyDescent="0.2">
      <c r="A662">
        <v>758</v>
      </c>
      <c r="B662">
        <v>1.1999999999999999E-3</v>
      </c>
      <c r="C662">
        <v>1E-4</v>
      </c>
      <c r="D662">
        <v>1.1000000000000001E-3</v>
      </c>
    </row>
    <row r="663" spans="1:4" x14ac:dyDescent="0.2">
      <c r="A663">
        <v>759</v>
      </c>
      <c r="B663">
        <v>1.1999999999999999E-3</v>
      </c>
      <c r="C663">
        <v>1E-4</v>
      </c>
      <c r="D663">
        <v>1.1000000000000001E-3</v>
      </c>
    </row>
    <row r="664" spans="1:4" x14ac:dyDescent="0.2">
      <c r="A664">
        <v>760</v>
      </c>
      <c r="B664">
        <v>1.1999999999999999E-3</v>
      </c>
      <c r="C664">
        <v>1E-4</v>
      </c>
      <c r="D664">
        <v>1.1000000000000001E-3</v>
      </c>
    </row>
    <row r="665" spans="1:4" x14ac:dyDescent="0.2">
      <c r="A665">
        <v>761</v>
      </c>
      <c r="B665">
        <v>1.1999999999999999E-3</v>
      </c>
      <c r="C665">
        <v>1E-4</v>
      </c>
      <c r="D665">
        <v>1.1000000000000001E-3</v>
      </c>
    </row>
    <row r="666" spans="1:4" x14ac:dyDescent="0.2">
      <c r="A666">
        <v>762</v>
      </c>
      <c r="B666">
        <v>1.1999999999999999E-3</v>
      </c>
      <c r="C666">
        <v>1E-4</v>
      </c>
      <c r="D666">
        <v>1.1000000000000001E-3</v>
      </c>
    </row>
    <row r="667" spans="1:4" x14ac:dyDescent="0.2">
      <c r="A667">
        <v>763</v>
      </c>
      <c r="B667">
        <v>1.1999999999999999E-3</v>
      </c>
      <c r="C667">
        <v>1E-4</v>
      </c>
      <c r="D667">
        <v>1.1000000000000001E-3</v>
      </c>
    </row>
    <row r="668" spans="1:4" x14ac:dyDescent="0.2">
      <c r="A668">
        <v>764</v>
      </c>
      <c r="B668">
        <v>1.1999999999999999E-3</v>
      </c>
      <c r="C668">
        <v>1E-4</v>
      </c>
      <c r="D668">
        <v>1.1000000000000001E-3</v>
      </c>
    </row>
    <row r="669" spans="1:4" x14ac:dyDescent="0.2">
      <c r="A669">
        <v>765</v>
      </c>
      <c r="B669">
        <v>1.1999999999999999E-3</v>
      </c>
      <c r="C669">
        <v>1E-4</v>
      </c>
      <c r="D669">
        <v>1.1000000000000001E-3</v>
      </c>
    </row>
    <row r="670" spans="1:4" x14ac:dyDescent="0.2">
      <c r="A670">
        <v>766</v>
      </c>
      <c r="B670">
        <v>1.2999999999999999E-3</v>
      </c>
      <c r="C670">
        <v>1E-4</v>
      </c>
      <c r="D670">
        <v>1.1999999999999999E-3</v>
      </c>
    </row>
    <row r="671" spans="1:4" x14ac:dyDescent="0.2">
      <c r="A671">
        <v>767</v>
      </c>
      <c r="B671">
        <v>1.2999999999999999E-3</v>
      </c>
      <c r="C671">
        <v>1E-4</v>
      </c>
      <c r="D671">
        <v>1.1999999999999999E-3</v>
      </c>
    </row>
    <row r="672" spans="1:4" x14ac:dyDescent="0.2">
      <c r="A672">
        <v>768</v>
      </c>
      <c r="B672">
        <v>1.2999999999999999E-3</v>
      </c>
      <c r="C672">
        <v>1E-4</v>
      </c>
      <c r="D672">
        <v>1.1999999999999999E-3</v>
      </c>
    </row>
    <row r="673" spans="1:4" x14ac:dyDescent="0.2">
      <c r="A673">
        <v>769</v>
      </c>
      <c r="B673">
        <v>1.2999999999999999E-3</v>
      </c>
      <c r="C673">
        <v>1E-4</v>
      </c>
      <c r="D673">
        <v>1.1999999999999999E-3</v>
      </c>
    </row>
    <row r="674" spans="1:4" x14ac:dyDescent="0.2">
      <c r="A674">
        <v>770</v>
      </c>
      <c r="B674">
        <v>1.2999999999999999E-3</v>
      </c>
      <c r="C674">
        <v>1E-4</v>
      </c>
      <c r="D674">
        <v>1.1999999999999999E-3</v>
      </c>
    </row>
    <row r="675" spans="1:4" x14ac:dyDescent="0.2">
      <c r="A675">
        <v>771</v>
      </c>
      <c r="B675">
        <v>1.2999999999999999E-3</v>
      </c>
      <c r="C675">
        <v>1E-4</v>
      </c>
      <c r="D675">
        <v>1.1999999999999999E-3</v>
      </c>
    </row>
    <row r="676" spans="1:4" x14ac:dyDescent="0.2">
      <c r="A676">
        <v>772</v>
      </c>
      <c r="B676">
        <v>1.2999999999999999E-3</v>
      </c>
      <c r="C676">
        <v>1E-4</v>
      </c>
      <c r="D676">
        <v>1.1999999999999999E-3</v>
      </c>
    </row>
    <row r="677" spans="1:4" x14ac:dyDescent="0.2">
      <c r="A677">
        <v>773</v>
      </c>
      <c r="B677">
        <v>1.2999999999999999E-3</v>
      </c>
      <c r="C677">
        <v>1E-4</v>
      </c>
      <c r="D677">
        <v>1.1999999999999999E-3</v>
      </c>
    </row>
    <row r="678" spans="1:4" x14ac:dyDescent="0.2">
      <c r="A678">
        <v>774</v>
      </c>
      <c r="B678">
        <v>1.2999999999999999E-3</v>
      </c>
      <c r="C678">
        <v>1E-4</v>
      </c>
      <c r="D678">
        <v>1.1999999999999999E-3</v>
      </c>
    </row>
    <row r="679" spans="1:4" x14ac:dyDescent="0.2">
      <c r="A679">
        <v>775</v>
      </c>
      <c r="B679">
        <v>1.4E-3</v>
      </c>
      <c r="C679">
        <v>1E-4</v>
      </c>
      <c r="D679">
        <v>1.2999999999999999E-3</v>
      </c>
    </row>
    <row r="680" spans="1:4" x14ac:dyDescent="0.2">
      <c r="A680">
        <v>776</v>
      </c>
      <c r="B680">
        <v>1.4E-3</v>
      </c>
      <c r="C680">
        <v>1E-4</v>
      </c>
      <c r="D680">
        <v>1.2999999999999999E-3</v>
      </c>
    </row>
    <row r="681" spans="1:4" x14ac:dyDescent="0.2">
      <c r="A681">
        <v>777</v>
      </c>
      <c r="B681">
        <v>1.4E-3</v>
      </c>
      <c r="C681">
        <v>1E-4</v>
      </c>
      <c r="D681">
        <v>1.2999999999999999E-3</v>
      </c>
    </row>
    <row r="682" spans="1:4" x14ac:dyDescent="0.2">
      <c r="A682">
        <v>778</v>
      </c>
      <c r="B682">
        <v>1.4E-3</v>
      </c>
      <c r="C682">
        <v>1E-4</v>
      </c>
      <c r="D682">
        <v>1.2999999999999999E-3</v>
      </c>
    </row>
    <row r="683" spans="1:4" x14ac:dyDescent="0.2">
      <c r="A683">
        <v>779</v>
      </c>
      <c r="B683">
        <v>1.5E-3</v>
      </c>
      <c r="C683">
        <v>2.0000000000000001E-4</v>
      </c>
      <c r="D683">
        <v>1.2999999999999999E-3</v>
      </c>
    </row>
    <row r="684" spans="1:4" x14ac:dyDescent="0.2">
      <c r="A684">
        <v>780</v>
      </c>
      <c r="B684">
        <v>1.5E-3</v>
      </c>
      <c r="C684">
        <v>2.0000000000000001E-4</v>
      </c>
      <c r="D684">
        <v>1.2999999999999999E-3</v>
      </c>
    </row>
    <row r="685" spans="1:4" x14ac:dyDescent="0.2">
      <c r="A685">
        <v>781</v>
      </c>
      <c r="B685">
        <v>1.5E-3</v>
      </c>
      <c r="C685">
        <v>2.0000000000000001E-4</v>
      </c>
      <c r="D685">
        <v>1.2999999999999999E-3</v>
      </c>
    </row>
    <row r="686" spans="1:4" x14ac:dyDescent="0.2">
      <c r="A686">
        <v>782</v>
      </c>
      <c r="B686">
        <v>1.5E-3</v>
      </c>
      <c r="C686">
        <v>2.0000000000000001E-4</v>
      </c>
      <c r="D686">
        <v>1.2999999999999999E-3</v>
      </c>
    </row>
    <row r="687" spans="1:4" x14ac:dyDescent="0.2">
      <c r="A687">
        <v>783</v>
      </c>
      <c r="B687">
        <v>1.6000000000000001E-3</v>
      </c>
      <c r="C687">
        <v>2.0000000000000001E-4</v>
      </c>
      <c r="D687">
        <v>1.4E-3</v>
      </c>
    </row>
    <row r="688" spans="1:4" x14ac:dyDescent="0.2">
      <c r="A688">
        <v>784</v>
      </c>
      <c r="B688">
        <v>1.6000000000000001E-3</v>
      </c>
      <c r="C688">
        <v>2.0000000000000001E-4</v>
      </c>
      <c r="D688">
        <v>1.4E-3</v>
      </c>
    </row>
    <row r="689" spans="1:4" x14ac:dyDescent="0.2">
      <c r="A689">
        <v>785</v>
      </c>
      <c r="B689">
        <v>1.6000000000000001E-3</v>
      </c>
      <c r="C689">
        <v>2.0000000000000001E-4</v>
      </c>
      <c r="D689">
        <v>1.4E-3</v>
      </c>
    </row>
    <row r="690" spans="1:4" x14ac:dyDescent="0.2">
      <c r="A690">
        <v>786</v>
      </c>
      <c r="B690">
        <v>1.6999999999999999E-3</v>
      </c>
      <c r="C690">
        <v>2.0000000000000001E-4</v>
      </c>
      <c r="D690">
        <v>1.5E-3</v>
      </c>
    </row>
    <row r="691" spans="1:4" x14ac:dyDescent="0.2">
      <c r="A691">
        <v>787</v>
      </c>
      <c r="B691">
        <v>1.6999999999999999E-3</v>
      </c>
      <c r="C691">
        <v>2.0000000000000001E-4</v>
      </c>
      <c r="D691">
        <v>1.5E-3</v>
      </c>
    </row>
    <row r="692" spans="1:4" x14ac:dyDescent="0.2">
      <c r="A692">
        <v>788</v>
      </c>
      <c r="B692">
        <v>1.6999999999999999E-3</v>
      </c>
      <c r="C692">
        <v>2.0000000000000001E-4</v>
      </c>
      <c r="D692">
        <v>1.5E-3</v>
      </c>
    </row>
    <row r="693" spans="1:4" x14ac:dyDescent="0.2">
      <c r="A693">
        <v>789</v>
      </c>
      <c r="B693">
        <v>1.8E-3</v>
      </c>
      <c r="C693">
        <v>2.0000000000000001E-4</v>
      </c>
      <c r="D693">
        <v>1.6000000000000001E-3</v>
      </c>
    </row>
    <row r="694" spans="1:4" x14ac:dyDescent="0.2">
      <c r="A694">
        <v>790</v>
      </c>
      <c r="B694">
        <v>1.8E-3</v>
      </c>
      <c r="C694">
        <v>2.0000000000000001E-4</v>
      </c>
      <c r="D694">
        <v>1.6000000000000001E-3</v>
      </c>
    </row>
    <row r="695" spans="1:4" x14ac:dyDescent="0.2">
      <c r="A695">
        <v>791</v>
      </c>
      <c r="B695">
        <v>1.8E-3</v>
      </c>
      <c r="C695">
        <v>2.0000000000000001E-4</v>
      </c>
      <c r="D695">
        <v>1.6000000000000001E-3</v>
      </c>
    </row>
    <row r="696" spans="1:4" x14ac:dyDescent="0.2">
      <c r="A696">
        <v>792</v>
      </c>
      <c r="B696">
        <v>1.9E-3</v>
      </c>
      <c r="C696">
        <v>2.0000000000000001E-4</v>
      </c>
      <c r="D696">
        <v>1.6999999999999999E-3</v>
      </c>
    </row>
    <row r="697" spans="1:4" x14ac:dyDescent="0.2">
      <c r="A697">
        <v>793</v>
      </c>
      <c r="B697">
        <v>1.9E-3</v>
      </c>
      <c r="C697">
        <v>2.0000000000000001E-4</v>
      </c>
      <c r="D697">
        <v>1.6999999999999999E-3</v>
      </c>
    </row>
    <row r="698" spans="1:4" x14ac:dyDescent="0.2">
      <c r="A698">
        <v>794</v>
      </c>
      <c r="B698">
        <v>1.9E-3</v>
      </c>
      <c r="C698">
        <v>2.0000000000000001E-4</v>
      </c>
      <c r="D698">
        <v>1.6999999999999999E-3</v>
      </c>
    </row>
    <row r="699" spans="1:4" x14ac:dyDescent="0.2">
      <c r="A699">
        <v>795</v>
      </c>
      <c r="B699">
        <v>2E-3</v>
      </c>
      <c r="C699">
        <v>2.9999999999999997E-4</v>
      </c>
      <c r="D699">
        <v>1.6999999999999999E-3</v>
      </c>
    </row>
    <row r="700" spans="1:4" x14ac:dyDescent="0.2">
      <c r="A700">
        <v>796</v>
      </c>
      <c r="B700">
        <v>2E-3</v>
      </c>
      <c r="C700">
        <v>2.9999999999999997E-4</v>
      </c>
      <c r="D700">
        <v>1.6999999999999999E-3</v>
      </c>
    </row>
    <row r="701" spans="1:4" x14ac:dyDescent="0.2">
      <c r="A701">
        <v>797</v>
      </c>
      <c r="B701">
        <v>2E-3</v>
      </c>
      <c r="C701">
        <v>2.9999999999999997E-4</v>
      </c>
      <c r="D701">
        <v>1.6999999999999999E-3</v>
      </c>
    </row>
    <row r="702" spans="1:4" x14ac:dyDescent="0.2">
      <c r="A702">
        <v>798</v>
      </c>
      <c r="B702">
        <v>2.0999999999999999E-3</v>
      </c>
      <c r="C702">
        <v>2.9999999999999997E-4</v>
      </c>
      <c r="D702">
        <v>1.8E-3</v>
      </c>
    </row>
    <row r="703" spans="1:4" x14ac:dyDescent="0.2">
      <c r="A703">
        <v>799</v>
      </c>
      <c r="B703">
        <v>2.0999999999999999E-3</v>
      </c>
      <c r="C703">
        <v>2.9999999999999997E-4</v>
      </c>
      <c r="D703">
        <v>1.8E-3</v>
      </c>
    </row>
    <row r="704" spans="1:4" x14ac:dyDescent="0.2">
      <c r="A704">
        <v>800</v>
      </c>
      <c r="B704">
        <v>2.2000000000000001E-3</v>
      </c>
      <c r="C704">
        <v>2.9999999999999997E-4</v>
      </c>
      <c r="D704">
        <v>1.9E-3</v>
      </c>
    </row>
    <row r="705" spans="1:4" x14ac:dyDescent="0.2">
      <c r="A705">
        <v>801</v>
      </c>
      <c r="B705">
        <v>2.2000000000000001E-3</v>
      </c>
      <c r="C705">
        <v>2.9999999999999997E-4</v>
      </c>
      <c r="D705">
        <v>1.9E-3</v>
      </c>
    </row>
    <row r="706" spans="1:4" x14ac:dyDescent="0.2">
      <c r="A706">
        <v>802</v>
      </c>
      <c r="B706">
        <v>2.3E-3</v>
      </c>
      <c r="C706">
        <v>4.0000000000000002E-4</v>
      </c>
      <c r="D706">
        <v>1.9E-3</v>
      </c>
    </row>
    <row r="707" spans="1:4" x14ac:dyDescent="0.2">
      <c r="A707">
        <v>803</v>
      </c>
      <c r="B707">
        <v>2.3E-3</v>
      </c>
      <c r="C707">
        <v>4.0000000000000002E-4</v>
      </c>
      <c r="D707">
        <v>1.9E-3</v>
      </c>
    </row>
    <row r="708" spans="1:4" x14ac:dyDescent="0.2">
      <c r="A708">
        <v>804</v>
      </c>
      <c r="B708">
        <v>2.3999999999999998E-3</v>
      </c>
      <c r="C708">
        <v>4.0000000000000002E-4</v>
      </c>
      <c r="D708">
        <v>2E-3</v>
      </c>
    </row>
    <row r="709" spans="1:4" x14ac:dyDescent="0.2">
      <c r="A709">
        <v>805</v>
      </c>
      <c r="B709">
        <v>2.3999999999999998E-3</v>
      </c>
      <c r="C709">
        <v>4.0000000000000002E-4</v>
      </c>
      <c r="D709">
        <v>2E-3</v>
      </c>
    </row>
    <row r="710" spans="1:4" x14ac:dyDescent="0.2">
      <c r="A710">
        <v>806</v>
      </c>
      <c r="B710">
        <v>2.5000000000000001E-3</v>
      </c>
      <c r="C710">
        <v>4.0000000000000002E-4</v>
      </c>
      <c r="D710">
        <v>2.0999999999999999E-3</v>
      </c>
    </row>
    <row r="711" spans="1:4" x14ac:dyDescent="0.2">
      <c r="A711">
        <v>807</v>
      </c>
      <c r="B711">
        <v>2.5000000000000001E-3</v>
      </c>
      <c r="C711">
        <v>4.0000000000000002E-4</v>
      </c>
      <c r="D711">
        <v>2.0999999999999999E-3</v>
      </c>
    </row>
    <row r="712" spans="1:4" x14ac:dyDescent="0.2">
      <c r="A712">
        <v>808</v>
      </c>
      <c r="B712">
        <v>2.5999999999999999E-3</v>
      </c>
      <c r="C712">
        <v>4.0000000000000002E-4</v>
      </c>
      <c r="D712">
        <v>2.2000000000000001E-3</v>
      </c>
    </row>
    <row r="713" spans="1:4" x14ac:dyDescent="0.2">
      <c r="A713">
        <v>809</v>
      </c>
      <c r="B713">
        <v>2.5999999999999999E-3</v>
      </c>
      <c r="C713">
        <v>4.0000000000000002E-4</v>
      </c>
      <c r="D713">
        <v>2.2000000000000001E-3</v>
      </c>
    </row>
    <row r="714" spans="1:4" x14ac:dyDescent="0.2">
      <c r="A714">
        <v>810</v>
      </c>
      <c r="B714">
        <v>2.7000000000000001E-3</v>
      </c>
      <c r="C714">
        <v>4.0000000000000002E-4</v>
      </c>
      <c r="D714">
        <v>2.3E-3</v>
      </c>
    </row>
    <row r="715" spans="1:4" x14ac:dyDescent="0.2">
      <c r="A715">
        <v>811</v>
      </c>
      <c r="B715">
        <v>2.7000000000000001E-3</v>
      </c>
      <c r="C715">
        <v>5.0000000000000001E-4</v>
      </c>
      <c r="D715">
        <v>2.2000000000000001E-3</v>
      </c>
    </row>
    <row r="716" spans="1:4" x14ac:dyDescent="0.2">
      <c r="A716">
        <v>812</v>
      </c>
      <c r="B716">
        <v>2.8E-3</v>
      </c>
      <c r="C716">
        <v>5.0000000000000001E-4</v>
      </c>
      <c r="D716">
        <v>2.3E-3</v>
      </c>
    </row>
    <row r="717" spans="1:4" x14ac:dyDescent="0.2">
      <c r="A717">
        <v>813</v>
      </c>
      <c r="B717">
        <v>2.8E-3</v>
      </c>
      <c r="C717">
        <v>5.0000000000000001E-4</v>
      </c>
      <c r="D717">
        <v>2.3E-3</v>
      </c>
    </row>
    <row r="718" spans="1:4" x14ac:dyDescent="0.2">
      <c r="A718">
        <v>814</v>
      </c>
      <c r="B718">
        <v>2.8999999999999998E-3</v>
      </c>
      <c r="C718">
        <v>5.0000000000000001E-4</v>
      </c>
      <c r="D718">
        <v>2.3999999999999998E-3</v>
      </c>
    </row>
    <row r="719" spans="1:4" x14ac:dyDescent="0.2">
      <c r="A719">
        <v>815</v>
      </c>
      <c r="B719">
        <v>2.8999999999999998E-3</v>
      </c>
      <c r="C719">
        <v>5.0000000000000001E-4</v>
      </c>
      <c r="D719">
        <v>2.3999999999999998E-3</v>
      </c>
    </row>
    <row r="720" spans="1:4" x14ac:dyDescent="0.2">
      <c r="A720">
        <v>816</v>
      </c>
      <c r="B720">
        <v>3.0000000000000001E-3</v>
      </c>
      <c r="C720">
        <v>5.0000000000000001E-4</v>
      </c>
      <c r="D720">
        <v>2.5000000000000001E-3</v>
      </c>
    </row>
    <row r="721" spans="1:4" x14ac:dyDescent="0.2">
      <c r="A721">
        <v>817</v>
      </c>
      <c r="B721">
        <v>3.0000000000000001E-3</v>
      </c>
      <c r="C721">
        <v>5.0000000000000001E-4</v>
      </c>
      <c r="D721">
        <v>2.5000000000000001E-3</v>
      </c>
    </row>
    <row r="722" spans="1:4" x14ac:dyDescent="0.2">
      <c r="A722">
        <v>818</v>
      </c>
      <c r="B722">
        <v>3.0999999999999999E-3</v>
      </c>
      <c r="C722">
        <v>5.9999999999999995E-4</v>
      </c>
      <c r="D722">
        <v>2.5000000000000001E-3</v>
      </c>
    </row>
    <row r="723" spans="1:4" x14ac:dyDescent="0.2">
      <c r="A723">
        <v>819</v>
      </c>
      <c r="B723">
        <v>3.0999999999999999E-3</v>
      </c>
      <c r="C723">
        <v>5.9999999999999995E-4</v>
      </c>
      <c r="D723">
        <v>2.5000000000000001E-3</v>
      </c>
    </row>
    <row r="724" spans="1:4" x14ac:dyDescent="0.2">
      <c r="A724">
        <v>820</v>
      </c>
      <c r="B724">
        <v>3.2000000000000002E-3</v>
      </c>
      <c r="C724">
        <v>5.9999999999999995E-4</v>
      </c>
      <c r="D724">
        <v>2.5999999999999999E-3</v>
      </c>
    </row>
    <row r="725" spans="1:4" x14ac:dyDescent="0.2">
      <c r="A725">
        <v>821</v>
      </c>
      <c r="B725">
        <v>3.3E-3</v>
      </c>
      <c r="C725">
        <v>5.9999999999999995E-4</v>
      </c>
      <c r="D725">
        <v>2.7000000000000001E-3</v>
      </c>
    </row>
    <row r="726" spans="1:4" x14ac:dyDescent="0.2">
      <c r="A726">
        <v>822</v>
      </c>
      <c r="B726">
        <v>3.3E-3</v>
      </c>
      <c r="C726">
        <v>6.9999999999999999E-4</v>
      </c>
      <c r="D726">
        <v>2.5999999999999999E-3</v>
      </c>
    </row>
    <row r="727" spans="1:4" x14ac:dyDescent="0.2">
      <c r="A727">
        <v>823</v>
      </c>
      <c r="B727">
        <v>3.3999999999999998E-3</v>
      </c>
      <c r="C727">
        <v>6.9999999999999999E-4</v>
      </c>
      <c r="D727">
        <v>2.7000000000000001E-3</v>
      </c>
    </row>
    <row r="728" spans="1:4" x14ac:dyDescent="0.2">
      <c r="A728">
        <v>824</v>
      </c>
      <c r="B728">
        <v>3.3999999999999998E-3</v>
      </c>
      <c r="C728">
        <v>6.9999999999999999E-4</v>
      </c>
      <c r="D728">
        <v>2.7000000000000001E-3</v>
      </c>
    </row>
    <row r="729" spans="1:4" x14ac:dyDescent="0.2">
      <c r="A729">
        <v>825</v>
      </c>
      <c r="B729">
        <v>3.5000000000000001E-3</v>
      </c>
      <c r="C729">
        <v>6.9999999999999999E-4</v>
      </c>
      <c r="D729">
        <v>2.8E-3</v>
      </c>
    </row>
    <row r="730" spans="1:4" x14ac:dyDescent="0.2">
      <c r="A730">
        <v>826</v>
      </c>
      <c r="B730">
        <v>3.5000000000000001E-3</v>
      </c>
      <c r="C730">
        <v>8.0000000000000004E-4</v>
      </c>
      <c r="D730">
        <v>2.7000000000000001E-3</v>
      </c>
    </row>
    <row r="731" spans="1:4" x14ac:dyDescent="0.2">
      <c r="A731">
        <v>827</v>
      </c>
      <c r="B731">
        <v>3.5999999999999999E-3</v>
      </c>
      <c r="C731">
        <v>8.0000000000000004E-4</v>
      </c>
      <c r="D731">
        <v>2.8E-3</v>
      </c>
    </row>
    <row r="732" spans="1:4" x14ac:dyDescent="0.2">
      <c r="A732">
        <v>828</v>
      </c>
      <c r="B732">
        <v>3.5999999999999999E-3</v>
      </c>
      <c r="C732">
        <v>8.0000000000000004E-4</v>
      </c>
      <c r="D732">
        <v>2.8E-3</v>
      </c>
    </row>
    <row r="733" spans="1:4" x14ac:dyDescent="0.2">
      <c r="A733">
        <v>829</v>
      </c>
      <c r="B733">
        <v>3.7000000000000002E-3</v>
      </c>
      <c r="C733">
        <v>8.0000000000000004E-4</v>
      </c>
      <c r="D733">
        <v>2.8999999999999998E-3</v>
      </c>
    </row>
    <row r="734" spans="1:4" x14ac:dyDescent="0.2">
      <c r="A734">
        <v>830</v>
      </c>
      <c r="B734">
        <v>3.8E-3</v>
      </c>
      <c r="C734">
        <v>8.9999999999999998E-4</v>
      </c>
      <c r="D734">
        <v>2.8999999999999998E-3</v>
      </c>
    </row>
    <row r="735" spans="1:4" x14ac:dyDescent="0.2">
      <c r="A735">
        <v>831</v>
      </c>
      <c r="B735">
        <v>3.8E-3</v>
      </c>
      <c r="C735">
        <v>8.9999999999999998E-4</v>
      </c>
      <c r="D735">
        <v>2.8999999999999998E-3</v>
      </c>
    </row>
    <row r="736" spans="1:4" x14ac:dyDescent="0.2">
      <c r="A736">
        <v>832</v>
      </c>
      <c r="B736">
        <v>3.8999999999999998E-3</v>
      </c>
      <c r="C736">
        <v>8.9999999999999998E-4</v>
      </c>
      <c r="D736">
        <v>3.0000000000000001E-3</v>
      </c>
    </row>
    <row r="737" spans="1:4" x14ac:dyDescent="0.2">
      <c r="A737">
        <v>833</v>
      </c>
      <c r="B737">
        <v>4.0000000000000001E-3</v>
      </c>
      <c r="C737">
        <v>8.9999999999999998E-4</v>
      </c>
      <c r="D737">
        <v>3.0999999999999999E-3</v>
      </c>
    </row>
    <row r="738" spans="1:4" x14ac:dyDescent="0.2">
      <c r="A738">
        <v>834</v>
      </c>
      <c r="B738">
        <v>4.0000000000000001E-3</v>
      </c>
      <c r="C738">
        <v>8.9999999999999998E-4</v>
      </c>
      <c r="D738">
        <v>3.0999999999999999E-3</v>
      </c>
    </row>
    <row r="739" spans="1:4" x14ac:dyDescent="0.2">
      <c r="A739">
        <v>835</v>
      </c>
      <c r="B739">
        <v>4.1000000000000003E-3</v>
      </c>
      <c r="C739">
        <v>1E-3</v>
      </c>
      <c r="D739">
        <v>3.0999999999999999E-3</v>
      </c>
    </row>
    <row r="740" spans="1:4" x14ac:dyDescent="0.2">
      <c r="A740">
        <v>836</v>
      </c>
      <c r="B740">
        <v>4.1000000000000003E-3</v>
      </c>
      <c r="C740">
        <v>1E-3</v>
      </c>
      <c r="D740">
        <v>3.0999999999999999E-3</v>
      </c>
    </row>
    <row r="741" spans="1:4" x14ac:dyDescent="0.2">
      <c r="A741">
        <v>837</v>
      </c>
      <c r="B741">
        <v>4.1999999999999997E-3</v>
      </c>
      <c r="C741">
        <v>1E-3</v>
      </c>
      <c r="D741">
        <v>3.2000000000000002E-3</v>
      </c>
    </row>
    <row r="742" spans="1:4" x14ac:dyDescent="0.2">
      <c r="A742">
        <v>838</v>
      </c>
      <c r="B742">
        <v>4.3E-3</v>
      </c>
      <c r="C742">
        <v>1E-3</v>
      </c>
      <c r="D742">
        <v>3.3E-3</v>
      </c>
    </row>
    <row r="743" spans="1:4" x14ac:dyDescent="0.2">
      <c r="A743">
        <v>839</v>
      </c>
      <c r="B743">
        <v>4.3E-3</v>
      </c>
      <c r="C743">
        <v>1.1000000000000001E-3</v>
      </c>
      <c r="D743">
        <v>3.2000000000000002E-3</v>
      </c>
    </row>
    <row r="744" spans="1:4" x14ac:dyDescent="0.2">
      <c r="A744">
        <v>840</v>
      </c>
      <c r="B744">
        <v>4.4000000000000003E-3</v>
      </c>
      <c r="C744">
        <v>1.1000000000000001E-3</v>
      </c>
      <c r="D744">
        <v>3.3E-3</v>
      </c>
    </row>
    <row r="745" spans="1:4" x14ac:dyDescent="0.2">
      <c r="A745">
        <v>841</v>
      </c>
      <c r="B745">
        <v>4.4999999999999997E-3</v>
      </c>
      <c r="C745">
        <v>1.1000000000000001E-3</v>
      </c>
      <c r="D745">
        <v>3.3999999999999998E-3</v>
      </c>
    </row>
    <row r="746" spans="1:4" x14ac:dyDescent="0.2">
      <c r="A746">
        <v>842</v>
      </c>
      <c r="B746">
        <v>4.4999999999999997E-3</v>
      </c>
      <c r="C746">
        <v>1.1000000000000001E-3</v>
      </c>
      <c r="D746">
        <v>3.3999999999999998E-3</v>
      </c>
    </row>
    <row r="747" spans="1:4" x14ac:dyDescent="0.2">
      <c r="A747">
        <v>843</v>
      </c>
      <c r="B747">
        <v>4.5999999999999999E-3</v>
      </c>
      <c r="C747">
        <v>1.1999999999999999E-3</v>
      </c>
      <c r="D747">
        <v>3.3999999999999998E-3</v>
      </c>
    </row>
    <row r="748" spans="1:4" x14ac:dyDescent="0.2">
      <c r="A748">
        <v>844</v>
      </c>
      <c r="B748">
        <v>4.7000000000000002E-3</v>
      </c>
      <c r="C748">
        <v>1.1999999999999999E-3</v>
      </c>
      <c r="D748">
        <v>3.5000000000000001E-3</v>
      </c>
    </row>
    <row r="749" spans="1:4" x14ac:dyDescent="0.2">
      <c r="A749">
        <v>845</v>
      </c>
      <c r="B749">
        <v>4.7000000000000002E-3</v>
      </c>
      <c r="C749">
        <v>1.1999999999999999E-3</v>
      </c>
      <c r="D749">
        <v>3.5000000000000001E-3</v>
      </c>
    </row>
    <row r="750" spans="1:4" x14ac:dyDescent="0.2">
      <c r="A750">
        <v>846</v>
      </c>
      <c r="B750">
        <v>4.7999999999999996E-3</v>
      </c>
      <c r="C750">
        <v>1.1999999999999999E-3</v>
      </c>
      <c r="D750">
        <v>3.5999999999999999E-3</v>
      </c>
    </row>
    <row r="751" spans="1:4" x14ac:dyDescent="0.2">
      <c r="A751">
        <v>847</v>
      </c>
      <c r="B751">
        <v>4.8999999999999998E-3</v>
      </c>
      <c r="C751">
        <v>1.2999999999999999E-3</v>
      </c>
      <c r="D751">
        <v>3.5999999999999999E-3</v>
      </c>
    </row>
    <row r="752" spans="1:4" x14ac:dyDescent="0.2">
      <c r="A752">
        <v>848</v>
      </c>
      <c r="B752">
        <v>5.0000000000000001E-3</v>
      </c>
      <c r="C752">
        <v>1.2999999999999999E-3</v>
      </c>
      <c r="D752">
        <v>3.7000000000000002E-3</v>
      </c>
    </row>
    <row r="753" spans="1:4" x14ac:dyDescent="0.2">
      <c r="A753">
        <v>849</v>
      </c>
      <c r="B753">
        <v>5.0000000000000001E-3</v>
      </c>
      <c r="C753">
        <v>1.2999999999999999E-3</v>
      </c>
      <c r="D753">
        <v>3.7000000000000002E-3</v>
      </c>
    </row>
    <row r="754" spans="1:4" x14ac:dyDescent="0.2">
      <c r="A754">
        <v>850</v>
      </c>
      <c r="B754">
        <v>5.1000000000000004E-3</v>
      </c>
      <c r="C754">
        <v>1.4E-3</v>
      </c>
      <c r="D754">
        <v>3.7000000000000002E-3</v>
      </c>
    </row>
    <row r="755" spans="1:4" x14ac:dyDescent="0.2">
      <c r="A755">
        <v>851</v>
      </c>
      <c r="B755">
        <v>5.1999999999999998E-3</v>
      </c>
      <c r="C755">
        <v>1.4E-3</v>
      </c>
      <c r="D755">
        <v>3.8E-3</v>
      </c>
    </row>
    <row r="756" spans="1:4" x14ac:dyDescent="0.2">
      <c r="A756">
        <v>852</v>
      </c>
      <c r="B756">
        <v>5.3E-3</v>
      </c>
      <c r="C756">
        <v>1.4E-3</v>
      </c>
      <c r="D756">
        <v>3.8999999999999998E-3</v>
      </c>
    </row>
    <row r="757" spans="1:4" x14ac:dyDescent="0.2">
      <c r="A757">
        <v>853</v>
      </c>
      <c r="B757">
        <v>5.3E-3</v>
      </c>
      <c r="C757">
        <v>1.4E-3</v>
      </c>
      <c r="D757">
        <v>3.8999999999999998E-3</v>
      </c>
    </row>
    <row r="758" spans="1:4" x14ac:dyDescent="0.2">
      <c r="A758">
        <v>854</v>
      </c>
      <c r="B758">
        <v>5.4000000000000003E-3</v>
      </c>
      <c r="C758">
        <v>1.5E-3</v>
      </c>
      <c r="D758">
        <v>3.8999999999999998E-3</v>
      </c>
    </row>
    <row r="759" spans="1:4" x14ac:dyDescent="0.2">
      <c r="A759">
        <v>855</v>
      </c>
      <c r="B759">
        <v>5.4999999999999997E-3</v>
      </c>
      <c r="C759">
        <v>1.5E-3</v>
      </c>
      <c r="D759">
        <v>4.0000000000000001E-3</v>
      </c>
    </row>
    <row r="760" spans="1:4" x14ac:dyDescent="0.2">
      <c r="A760">
        <v>856</v>
      </c>
      <c r="B760">
        <v>5.5999999999999999E-3</v>
      </c>
      <c r="C760">
        <v>1.5E-3</v>
      </c>
      <c r="D760">
        <v>4.1000000000000003E-3</v>
      </c>
    </row>
    <row r="761" spans="1:4" x14ac:dyDescent="0.2">
      <c r="A761">
        <v>857</v>
      </c>
      <c r="B761">
        <v>5.5999999999999999E-3</v>
      </c>
      <c r="C761">
        <v>1.6000000000000001E-3</v>
      </c>
      <c r="D761">
        <v>4.0000000000000001E-3</v>
      </c>
    </row>
    <row r="762" spans="1:4" x14ac:dyDescent="0.2">
      <c r="A762">
        <v>858</v>
      </c>
      <c r="B762">
        <v>5.7000000000000002E-3</v>
      </c>
      <c r="C762">
        <v>1.6000000000000001E-3</v>
      </c>
      <c r="D762">
        <v>4.1000000000000003E-3</v>
      </c>
    </row>
    <row r="763" spans="1:4" x14ac:dyDescent="0.2">
      <c r="A763">
        <v>859</v>
      </c>
      <c r="B763">
        <v>5.7999999999999996E-3</v>
      </c>
      <c r="C763">
        <v>1.6000000000000001E-3</v>
      </c>
      <c r="D763">
        <v>4.1999999999999997E-3</v>
      </c>
    </row>
    <row r="764" spans="1:4" x14ac:dyDescent="0.2">
      <c r="A764">
        <v>860</v>
      </c>
      <c r="B764">
        <v>5.8999999999999999E-3</v>
      </c>
      <c r="C764">
        <v>1.6999999999999999E-3</v>
      </c>
      <c r="D764">
        <v>4.1999999999999997E-3</v>
      </c>
    </row>
    <row r="765" spans="1:4" x14ac:dyDescent="0.2">
      <c r="A765">
        <v>861</v>
      </c>
      <c r="B765">
        <v>6.0000000000000001E-3</v>
      </c>
      <c r="C765">
        <v>1.6999999999999999E-3</v>
      </c>
      <c r="D765">
        <v>4.3E-3</v>
      </c>
    </row>
    <row r="766" spans="1:4" x14ac:dyDescent="0.2">
      <c r="A766">
        <v>862</v>
      </c>
      <c r="B766">
        <v>6.1000000000000004E-3</v>
      </c>
      <c r="C766">
        <v>1.8E-3</v>
      </c>
      <c r="D766">
        <v>4.3E-3</v>
      </c>
    </row>
    <row r="767" spans="1:4" x14ac:dyDescent="0.2">
      <c r="A767">
        <v>863</v>
      </c>
      <c r="B767">
        <v>6.1000000000000004E-3</v>
      </c>
      <c r="C767">
        <v>1.8E-3</v>
      </c>
      <c r="D767">
        <v>4.3E-3</v>
      </c>
    </row>
    <row r="768" spans="1:4" x14ac:dyDescent="0.2">
      <c r="A768">
        <v>864</v>
      </c>
      <c r="B768">
        <v>6.1999999999999998E-3</v>
      </c>
      <c r="C768">
        <v>1.8E-3</v>
      </c>
      <c r="D768">
        <v>4.4000000000000003E-3</v>
      </c>
    </row>
    <row r="769" spans="1:4" x14ac:dyDescent="0.2">
      <c r="A769">
        <v>865</v>
      </c>
      <c r="B769">
        <v>6.3E-3</v>
      </c>
      <c r="C769">
        <v>1.9E-3</v>
      </c>
      <c r="D769">
        <v>4.4000000000000003E-3</v>
      </c>
    </row>
    <row r="770" spans="1:4" x14ac:dyDescent="0.2">
      <c r="A770">
        <v>866</v>
      </c>
      <c r="B770">
        <v>6.4000000000000003E-3</v>
      </c>
      <c r="C770">
        <v>1.9E-3</v>
      </c>
      <c r="D770">
        <v>4.4999999999999997E-3</v>
      </c>
    </row>
    <row r="771" spans="1:4" x14ac:dyDescent="0.2">
      <c r="A771">
        <v>867</v>
      </c>
      <c r="B771">
        <v>6.4999999999999997E-3</v>
      </c>
      <c r="C771">
        <v>2E-3</v>
      </c>
      <c r="D771">
        <v>4.4999999999999997E-3</v>
      </c>
    </row>
    <row r="772" spans="1:4" x14ac:dyDescent="0.2">
      <c r="A772">
        <v>868</v>
      </c>
      <c r="B772">
        <v>6.6E-3</v>
      </c>
      <c r="C772">
        <v>2E-3</v>
      </c>
      <c r="D772">
        <v>4.5999999999999999E-3</v>
      </c>
    </row>
    <row r="773" spans="1:4" x14ac:dyDescent="0.2">
      <c r="A773">
        <v>869</v>
      </c>
      <c r="B773">
        <v>6.7000000000000002E-3</v>
      </c>
      <c r="C773">
        <v>2E-3</v>
      </c>
      <c r="D773">
        <v>4.7000000000000002E-3</v>
      </c>
    </row>
    <row r="774" spans="1:4" x14ac:dyDescent="0.2">
      <c r="A774">
        <v>870</v>
      </c>
      <c r="B774">
        <v>6.7999999999999996E-3</v>
      </c>
      <c r="C774">
        <v>2.0999999999999999E-3</v>
      </c>
      <c r="D774">
        <v>4.7000000000000002E-3</v>
      </c>
    </row>
    <row r="775" spans="1:4" x14ac:dyDescent="0.2">
      <c r="A775">
        <v>871</v>
      </c>
      <c r="B775">
        <v>6.8999999999999999E-3</v>
      </c>
      <c r="C775">
        <v>2.0999999999999999E-3</v>
      </c>
      <c r="D775">
        <v>4.7999999999999996E-3</v>
      </c>
    </row>
    <row r="776" spans="1:4" x14ac:dyDescent="0.2">
      <c r="A776">
        <v>872</v>
      </c>
      <c r="B776">
        <v>7.0000000000000001E-3</v>
      </c>
      <c r="C776">
        <v>2.2000000000000001E-3</v>
      </c>
      <c r="D776">
        <v>4.7999999999999996E-3</v>
      </c>
    </row>
    <row r="777" spans="1:4" x14ac:dyDescent="0.2">
      <c r="A777">
        <v>873</v>
      </c>
      <c r="B777">
        <v>7.1000000000000004E-3</v>
      </c>
      <c r="C777">
        <v>2.2000000000000001E-3</v>
      </c>
      <c r="D777">
        <v>4.8999999999999998E-3</v>
      </c>
    </row>
    <row r="778" spans="1:4" x14ac:dyDescent="0.2">
      <c r="A778">
        <v>874</v>
      </c>
      <c r="B778">
        <v>7.1999999999999998E-3</v>
      </c>
      <c r="C778">
        <v>2.3E-3</v>
      </c>
      <c r="D778">
        <v>4.8999999999999998E-3</v>
      </c>
    </row>
    <row r="779" spans="1:4" x14ac:dyDescent="0.2">
      <c r="A779">
        <v>875</v>
      </c>
      <c r="B779">
        <v>7.3000000000000001E-3</v>
      </c>
      <c r="C779">
        <v>2.3E-3</v>
      </c>
      <c r="D779">
        <v>5.0000000000000001E-3</v>
      </c>
    </row>
    <row r="780" spans="1:4" x14ac:dyDescent="0.2">
      <c r="A780">
        <v>876</v>
      </c>
      <c r="B780">
        <v>7.4000000000000003E-3</v>
      </c>
      <c r="C780">
        <v>2.3999999999999998E-3</v>
      </c>
      <c r="D780">
        <v>5.0000000000000001E-3</v>
      </c>
    </row>
    <row r="781" spans="1:4" x14ac:dyDescent="0.2">
      <c r="A781">
        <v>877</v>
      </c>
      <c r="B781">
        <v>7.4999999999999997E-3</v>
      </c>
      <c r="C781">
        <v>2.3999999999999998E-3</v>
      </c>
      <c r="D781">
        <v>5.1000000000000004E-3</v>
      </c>
    </row>
    <row r="782" spans="1:4" x14ac:dyDescent="0.2">
      <c r="A782">
        <v>878</v>
      </c>
      <c r="B782">
        <v>7.6E-3</v>
      </c>
      <c r="C782">
        <v>2.5000000000000001E-3</v>
      </c>
      <c r="D782">
        <v>5.1000000000000004E-3</v>
      </c>
    </row>
    <row r="783" spans="1:4" x14ac:dyDescent="0.2">
      <c r="A783">
        <v>879</v>
      </c>
      <c r="B783">
        <v>7.7000000000000002E-3</v>
      </c>
      <c r="C783">
        <v>2.5000000000000001E-3</v>
      </c>
      <c r="D783">
        <v>5.1999999999999998E-3</v>
      </c>
    </row>
    <row r="784" spans="1:4" x14ac:dyDescent="0.2">
      <c r="A784">
        <v>880</v>
      </c>
      <c r="B784">
        <v>7.7999999999999996E-3</v>
      </c>
      <c r="C784">
        <v>2.5999999999999999E-3</v>
      </c>
      <c r="D784">
        <v>5.1999999999999998E-3</v>
      </c>
    </row>
    <row r="785" spans="1:4" x14ac:dyDescent="0.2">
      <c r="A785">
        <v>881</v>
      </c>
      <c r="B785">
        <v>7.9000000000000008E-3</v>
      </c>
      <c r="C785">
        <v>2.5999999999999999E-3</v>
      </c>
      <c r="D785">
        <v>5.3E-3</v>
      </c>
    </row>
    <row r="786" spans="1:4" x14ac:dyDescent="0.2">
      <c r="A786">
        <v>882</v>
      </c>
      <c r="B786">
        <v>8.0000000000000002E-3</v>
      </c>
      <c r="C786">
        <v>2.7000000000000001E-3</v>
      </c>
      <c r="D786">
        <v>5.3E-3</v>
      </c>
    </row>
    <row r="787" spans="1:4" x14ac:dyDescent="0.2">
      <c r="A787">
        <v>883</v>
      </c>
      <c r="B787">
        <v>8.0999999999999996E-3</v>
      </c>
      <c r="C787">
        <v>2.7000000000000001E-3</v>
      </c>
      <c r="D787">
        <v>5.4000000000000003E-3</v>
      </c>
    </row>
    <row r="788" spans="1:4" x14ac:dyDescent="0.2">
      <c r="A788">
        <v>884</v>
      </c>
      <c r="B788">
        <v>8.2000000000000007E-3</v>
      </c>
      <c r="C788">
        <v>2.8E-3</v>
      </c>
      <c r="D788">
        <v>5.4000000000000003E-3</v>
      </c>
    </row>
    <row r="789" spans="1:4" x14ac:dyDescent="0.2">
      <c r="A789">
        <v>885</v>
      </c>
      <c r="B789">
        <v>8.3000000000000001E-3</v>
      </c>
      <c r="C789">
        <v>2.8999999999999998E-3</v>
      </c>
      <c r="D789">
        <v>5.4000000000000003E-3</v>
      </c>
    </row>
    <row r="790" spans="1:4" x14ac:dyDescent="0.2">
      <c r="A790">
        <v>886</v>
      </c>
      <c r="B790">
        <v>8.3999999999999995E-3</v>
      </c>
      <c r="C790">
        <v>2.8999999999999998E-3</v>
      </c>
      <c r="D790">
        <v>5.4999999999999997E-3</v>
      </c>
    </row>
    <row r="791" spans="1:4" x14ac:dyDescent="0.2">
      <c r="A791">
        <v>887</v>
      </c>
      <c r="B791">
        <v>8.3999999999999995E-3</v>
      </c>
      <c r="C791">
        <v>2.8999999999999998E-3</v>
      </c>
      <c r="D791">
        <v>5.4999999999999997E-3</v>
      </c>
    </row>
    <row r="792" spans="1:4" x14ac:dyDescent="0.2">
      <c r="A792">
        <v>888</v>
      </c>
      <c r="B792">
        <v>8.5000000000000006E-3</v>
      </c>
      <c r="C792">
        <v>3.0000000000000001E-3</v>
      </c>
      <c r="D792">
        <v>5.4999999999999997E-3</v>
      </c>
    </row>
    <row r="793" spans="1:4" x14ac:dyDescent="0.2">
      <c r="A793">
        <v>889</v>
      </c>
      <c r="B793">
        <v>8.5000000000000006E-3</v>
      </c>
      <c r="C793">
        <v>3.0000000000000001E-3</v>
      </c>
      <c r="D793">
        <v>5.4999999999999997E-3</v>
      </c>
    </row>
    <row r="794" spans="1:4" x14ac:dyDescent="0.2">
      <c r="A794">
        <v>890</v>
      </c>
      <c r="B794">
        <v>8.5000000000000006E-3</v>
      </c>
      <c r="C794">
        <v>3.0000000000000001E-3</v>
      </c>
      <c r="D794">
        <v>5.4999999999999997E-3</v>
      </c>
    </row>
    <row r="795" spans="1:4" x14ac:dyDescent="0.2">
      <c r="A795">
        <v>891</v>
      </c>
      <c r="B795">
        <v>8.5000000000000006E-3</v>
      </c>
      <c r="C795">
        <v>3.0999999999999999E-3</v>
      </c>
      <c r="D795">
        <v>5.4000000000000003E-3</v>
      </c>
    </row>
    <row r="796" spans="1:4" x14ac:dyDescent="0.2">
      <c r="A796">
        <v>892</v>
      </c>
      <c r="B796">
        <v>8.6E-3</v>
      </c>
      <c r="C796">
        <v>3.0999999999999999E-3</v>
      </c>
      <c r="D796">
        <v>5.4999999999999997E-3</v>
      </c>
    </row>
    <row r="797" spans="1:4" x14ac:dyDescent="0.2">
      <c r="A797">
        <v>893</v>
      </c>
      <c r="B797">
        <v>8.6E-3</v>
      </c>
      <c r="C797">
        <v>3.0999999999999999E-3</v>
      </c>
      <c r="D797">
        <v>5.4999999999999997E-3</v>
      </c>
    </row>
    <row r="798" spans="1:4" x14ac:dyDescent="0.2">
      <c r="A798">
        <v>894</v>
      </c>
      <c r="B798">
        <v>8.6E-3</v>
      </c>
      <c r="C798">
        <v>3.2000000000000002E-3</v>
      </c>
      <c r="D798">
        <v>5.4000000000000003E-3</v>
      </c>
    </row>
    <row r="799" spans="1:4" x14ac:dyDescent="0.2">
      <c r="A799">
        <v>895</v>
      </c>
      <c r="B799">
        <v>8.6999999999999994E-3</v>
      </c>
      <c r="C799">
        <v>3.2000000000000002E-3</v>
      </c>
      <c r="D799">
        <v>5.4999999999999997E-3</v>
      </c>
    </row>
    <row r="800" spans="1:4" x14ac:dyDescent="0.2">
      <c r="A800">
        <v>896</v>
      </c>
      <c r="B800">
        <v>8.6999999999999994E-3</v>
      </c>
      <c r="C800">
        <v>3.2000000000000002E-3</v>
      </c>
      <c r="D800">
        <v>5.4999999999999997E-3</v>
      </c>
    </row>
    <row r="801" spans="1:4" x14ac:dyDescent="0.2">
      <c r="A801">
        <v>897</v>
      </c>
      <c r="B801">
        <v>8.6999999999999994E-3</v>
      </c>
      <c r="C801">
        <v>3.3E-3</v>
      </c>
      <c r="D801">
        <v>5.4000000000000003E-3</v>
      </c>
    </row>
    <row r="802" spans="1:4" x14ac:dyDescent="0.2">
      <c r="A802">
        <v>898</v>
      </c>
      <c r="B802">
        <v>8.6999999999999994E-3</v>
      </c>
      <c r="C802">
        <v>3.3E-3</v>
      </c>
      <c r="D802">
        <v>5.4000000000000003E-3</v>
      </c>
    </row>
    <row r="803" spans="1:4" x14ac:dyDescent="0.2">
      <c r="A803">
        <v>899</v>
      </c>
      <c r="B803">
        <v>8.8000000000000005E-3</v>
      </c>
      <c r="C803">
        <v>3.3E-3</v>
      </c>
      <c r="D803">
        <v>5.4999999999999997E-3</v>
      </c>
    </row>
    <row r="804" spans="1:4" x14ac:dyDescent="0.2">
      <c r="A804">
        <v>900</v>
      </c>
      <c r="B804">
        <v>8.8000000000000005E-3</v>
      </c>
      <c r="C804">
        <v>3.3999999999999998E-3</v>
      </c>
      <c r="D804">
        <v>5.4000000000000003E-3</v>
      </c>
    </row>
    <row r="805" spans="1:4" x14ac:dyDescent="0.2">
      <c r="A805">
        <v>901</v>
      </c>
      <c r="B805">
        <v>8.8000000000000005E-3</v>
      </c>
      <c r="C805">
        <v>3.3999999999999998E-3</v>
      </c>
      <c r="D805">
        <v>5.4000000000000003E-3</v>
      </c>
    </row>
    <row r="806" spans="1:4" x14ac:dyDescent="0.2">
      <c r="A806">
        <v>902</v>
      </c>
      <c r="B806">
        <v>8.8000000000000005E-3</v>
      </c>
      <c r="C806">
        <v>3.5000000000000001E-3</v>
      </c>
      <c r="D806">
        <v>5.3E-3</v>
      </c>
    </row>
    <row r="807" spans="1:4" x14ac:dyDescent="0.2">
      <c r="A807">
        <v>903</v>
      </c>
      <c r="B807">
        <v>8.8999999999999999E-3</v>
      </c>
      <c r="C807">
        <v>3.5000000000000001E-3</v>
      </c>
      <c r="D807">
        <v>5.4000000000000003E-3</v>
      </c>
    </row>
    <row r="808" spans="1:4" x14ac:dyDescent="0.2">
      <c r="A808">
        <v>904</v>
      </c>
      <c r="B808">
        <v>8.8999999999999999E-3</v>
      </c>
      <c r="C808">
        <v>3.5000000000000001E-3</v>
      </c>
      <c r="D808">
        <v>5.4000000000000003E-3</v>
      </c>
    </row>
    <row r="809" spans="1:4" x14ac:dyDescent="0.2">
      <c r="A809">
        <v>905</v>
      </c>
      <c r="B809">
        <v>8.8999999999999999E-3</v>
      </c>
      <c r="C809">
        <v>3.5999999999999999E-3</v>
      </c>
      <c r="D809">
        <v>5.3E-3</v>
      </c>
    </row>
    <row r="810" spans="1:4" x14ac:dyDescent="0.2">
      <c r="A810">
        <v>906</v>
      </c>
      <c r="B810">
        <v>8.8999999999999999E-3</v>
      </c>
      <c r="C810">
        <v>3.5999999999999999E-3</v>
      </c>
      <c r="D810">
        <v>5.3E-3</v>
      </c>
    </row>
    <row r="811" spans="1:4" x14ac:dyDescent="0.2">
      <c r="A811">
        <v>907</v>
      </c>
      <c r="B811">
        <v>8.9999999999999993E-3</v>
      </c>
      <c r="C811">
        <v>3.5999999999999999E-3</v>
      </c>
      <c r="D811">
        <v>5.4000000000000003E-3</v>
      </c>
    </row>
    <row r="812" spans="1:4" x14ac:dyDescent="0.2">
      <c r="A812">
        <v>908</v>
      </c>
      <c r="B812">
        <v>8.9999999999999993E-3</v>
      </c>
      <c r="C812">
        <v>3.7000000000000002E-3</v>
      </c>
      <c r="D812">
        <v>5.3E-3</v>
      </c>
    </row>
    <row r="813" spans="1:4" x14ac:dyDescent="0.2">
      <c r="A813">
        <v>909</v>
      </c>
      <c r="B813">
        <v>8.9999999999999993E-3</v>
      </c>
      <c r="C813">
        <v>3.7000000000000002E-3</v>
      </c>
      <c r="D813">
        <v>5.3E-3</v>
      </c>
    </row>
    <row r="814" spans="1:4" x14ac:dyDescent="0.2">
      <c r="A814">
        <v>910</v>
      </c>
      <c r="B814">
        <v>9.1000000000000004E-3</v>
      </c>
      <c r="C814">
        <v>3.8E-3</v>
      </c>
      <c r="D814">
        <v>5.3E-3</v>
      </c>
    </row>
    <row r="815" spans="1:4" x14ac:dyDescent="0.2">
      <c r="A815">
        <v>911</v>
      </c>
      <c r="B815">
        <v>9.1000000000000004E-3</v>
      </c>
      <c r="C815">
        <v>3.8E-3</v>
      </c>
      <c r="D815">
        <v>5.3E-3</v>
      </c>
    </row>
    <row r="816" spans="1:4" x14ac:dyDescent="0.2">
      <c r="A816">
        <v>912</v>
      </c>
      <c r="B816">
        <v>9.1000000000000004E-3</v>
      </c>
      <c r="C816">
        <v>3.8E-3</v>
      </c>
      <c r="D816">
        <v>5.3E-3</v>
      </c>
    </row>
    <row r="817" spans="1:4" x14ac:dyDescent="0.2">
      <c r="A817">
        <v>913</v>
      </c>
      <c r="B817">
        <v>9.1000000000000004E-3</v>
      </c>
      <c r="C817">
        <v>3.8999999999999998E-3</v>
      </c>
      <c r="D817">
        <v>5.1999999999999998E-3</v>
      </c>
    </row>
    <row r="818" spans="1:4" x14ac:dyDescent="0.2">
      <c r="A818">
        <v>914</v>
      </c>
      <c r="B818">
        <v>9.1000000000000004E-3</v>
      </c>
      <c r="C818">
        <v>3.8999999999999998E-3</v>
      </c>
      <c r="D818">
        <v>5.1999999999999998E-3</v>
      </c>
    </row>
    <row r="819" spans="1:4" x14ac:dyDescent="0.2">
      <c r="A819">
        <v>915</v>
      </c>
      <c r="B819">
        <v>9.1000000000000004E-3</v>
      </c>
      <c r="C819">
        <v>3.8999999999999998E-3</v>
      </c>
      <c r="D819">
        <v>5.1999999999999998E-3</v>
      </c>
    </row>
    <row r="820" spans="1:4" x14ac:dyDescent="0.2">
      <c r="A820">
        <v>916</v>
      </c>
      <c r="B820">
        <v>9.1000000000000004E-3</v>
      </c>
      <c r="C820">
        <v>3.8999999999999998E-3</v>
      </c>
      <c r="D820">
        <v>5.1999999999999998E-3</v>
      </c>
    </row>
    <row r="821" spans="1:4" x14ac:dyDescent="0.2">
      <c r="A821">
        <v>917</v>
      </c>
      <c r="B821">
        <v>9.1000000000000004E-3</v>
      </c>
      <c r="C821">
        <v>4.0000000000000001E-3</v>
      </c>
      <c r="D821">
        <v>5.1000000000000004E-3</v>
      </c>
    </row>
    <row r="822" spans="1:4" x14ac:dyDescent="0.2">
      <c r="A822">
        <v>918</v>
      </c>
      <c r="B822">
        <v>8.9999999999999993E-3</v>
      </c>
      <c r="C822">
        <v>4.0000000000000001E-3</v>
      </c>
      <c r="D822">
        <v>5.0000000000000001E-3</v>
      </c>
    </row>
    <row r="823" spans="1:4" x14ac:dyDescent="0.2">
      <c r="A823">
        <v>919</v>
      </c>
      <c r="B823">
        <v>8.9999999999999993E-3</v>
      </c>
      <c r="C823">
        <v>4.0000000000000001E-3</v>
      </c>
      <c r="D823">
        <v>5.0000000000000001E-3</v>
      </c>
    </row>
    <row r="824" spans="1:4" x14ac:dyDescent="0.2">
      <c r="A824">
        <v>920</v>
      </c>
      <c r="B824">
        <v>8.9999999999999993E-3</v>
      </c>
      <c r="C824">
        <v>4.0000000000000001E-3</v>
      </c>
      <c r="D824">
        <v>5.0000000000000001E-3</v>
      </c>
    </row>
    <row r="825" spans="1:4" x14ac:dyDescent="0.2">
      <c r="A825">
        <v>921</v>
      </c>
      <c r="B825">
        <v>8.9999999999999993E-3</v>
      </c>
      <c r="C825">
        <v>4.1000000000000003E-3</v>
      </c>
      <c r="D825">
        <v>4.8999999999999998E-3</v>
      </c>
    </row>
    <row r="826" spans="1:4" x14ac:dyDescent="0.2">
      <c r="A826">
        <v>922</v>
      </c>
      <c r="B826">
        <v>8.9999999999999993E-3</v>
      </c>
      <c r="C826">
        <v>4.1000000000000003E-3</v>
      </c>
      <c r="D826">
        <v>4.8999999999999998E-3</v>
      </c>
    </row>
    <row r="827" spans="1:4" x14ac:dyDescent="0.2">
      <c r="A827">
        <v>923</v>
      </c>
      <c r="B827">
        <v>8.9999999999999993E-3</v>
      </c>
      <c r="C827">
        <v>4.1000000000000003E-3</v>
      </c>
      <c r="D827">
        <v>4.8999999999999998E-3</v>
      </c>
    </row>
    <row r="828" spans="1:4" x14ac:dyDescent="0.2">
      <c r="A828">
        <v>924</v>
      </c>
      <c r="B828">
        <v>8.9999999999999993E-3</v>
      </c>
      <c r="C828">
        <v>4.1000000000000003E-3</v>
      </c>
      <c r="D828">
        <v>4.8999999999999998E-3</v>
      </c>
    </row>
    <row r="829" spans="1:4" x14ac:dyDescent="0.2">
      <c r="A829">
        <v>925</v>
      </c>
      <c r="B829">
        <v>8.9999999999999993E-3</v>
      </c>
      <c r="C829">
        <v>4.1999999999999997E-3</v>
      </c>
      <c r="D829">
        <v>4.7999999999999996E-3</v>
      </c>
    </row>
    <row r="830" spans="1:4" x14ac:dyDescent="0.2">
      <c r="A830">
        <v>926</v>
      </c>
      <c r="B830">
        <v>8.9999999999999993E-3</v>
      </c>
      <c r="C830">
        <v>4.1999999999999997E-3</v>
      </c>
      <c r="D830">
        <v>4.7999999999999996E-3</v>
      </c>
    </row>
    <row r="831" spans="1:4" x14ac:dyDescent="0.2">
      <c r="A831">
        <v>927</v>
      </c>
      <c r="B831">
        <v>8.9999999999999993E-3</v>
      </c>
      <c r="C831">
        <v>4.1999999999999997E-3</v>
      </c>
      <c r="D831">
        <v>4.7999999999999996E-3</v>
      </c>
    </row>
    <row r="832" spans="1:4" x14ac:dyDescent="0.2">
      <c r="A832">
        <v>928</v>
      </c>
      <c r="B832">
        <v>8.9999999999999993E-3</v>
      </c>
      <c r="C832">
        <v>4.1999999999999997E-3</v>
      </c>
      <c r="D832">
        <v>4.7999999999999996E-3</v>
      </c>
    </row>
    <row r="833" spans="1:4" x14ac:dyDescent="0.2">
      <c r="A833">
        <v>929</v>
      </c>
      <c r="B833">
        <v>8.8999999999999999E-3</v>
      </c>
      <c r="C833">
        <v>4.3E-3</v>
      </c>
      <c r="D833">
        <v>4.5999999999999999E-3</v>
      </c>
    </row>
    <row r="834" spans="1:4" x14ac:dyDescent="0.2">
      <c r="A834">
        <v>930</v>
      </c>
      <c r="B834">
        <v>8.8999999999999999E-3</v>
      </c>
      <c r="C834">
        <v>4.3E-3</v>
      </c>
      <c r="D834">
        <v>4.5999999999999999E-3</v>
      </c>
    </row>
    <row r="835" spans="1:4" x14ac:dyDescent="0.2">
      <c r="A835">
        <v>931</v>
      </c>
      <c r="B835">
        <v>8.8999999999999999E-3</v>
      </c>
      <c r="C835">
        <v>4.3E-3</v>
      </c>
      <c r="D835">
        <v>4.5999999999999999E-3</v>
      </c>
    </row>
    <row r="836" spans="1:4" x14ac:dyDescent="0.2">
      <c r="A836">
        <v>932</v>
      </c>
      <c r="B836">
        <v>8.8999999999999999E-3</v>
      </c>
      <c r="C836">
        <v>4.4000000000000003E-3</v>
      </c>
      <c r="D836">
        <v>4.4999999999999997E-3</v>
      </c>
    </row>
    <row r="837" spans="1:4" x14ac:dyDescent="0.2">
      <c r="A837">
        <v>933</v>
      </c>
      <c r="B837">
        <v>8.8999999999999999E-3</v>
      </c>
      <c r="C837">
        <v>4.4000000000000003E-3</v>
      </c>
      <c r="D837">
        <v>4.4999999999999997E-3</v>
      </c>
    </row>
    <row r="838" spans="1:4" x14ac:dyDescent="0.2">
      <c r="A838">
        <v>934</v>
      </c>
      <c r="B838">
        <v>8.8999999999999999E-3</v>
      </c>
      <c r="C838">
        <v>4.4000000000000003E-3</v>
      </c>
      <c r="D838">
        <v>4.4999999999999997E-3</v>
      </c>
    </row>
    <row r="839" spans="1:4" x14ac:dyDescent="0.2">
      <c r="A839">
        <v>935</v>
      </c>
      <c r="B839">
        <v>8.8999999999999999E-3</v>
      </c>
      <c r="C839">
        <v>4.4000000000000003E-3</v>
      </c>
      <c r="D839">
        <v>4.4999999999999997E-3</v>
      </c>
    </row>
    <row r="840" spans="1:4" x14ac:dyDescent="0.2">
      <c r="A840">
        <v>936</v>
      </c>
      <c r="B840">
        <v>8.8999999999999999E-3</v>
      </c>
      <c r="C840">
        <v>4.4999999999999997E-3</v>
      </c>
      <c r="D840">
        <v>4.4000000000000003E-3</v>
      </c>
    </row>
    <row r="841" spans="1:4" x14ac:dyDescent="0.2">
      <c r="A841">
        <v>937</v>
      </c>
      <c r="B841">
        <v>8.8999999999999999E-3</v>
      </c>
      <c r="C841">
        <v>4.4999999999999997E-3</v>
      </c>
      <c r="D841">
        <v>4.4000000000000003E-3</v>
      </c>
    </row>
    <row r="842" spans="1:4" x14ac:dyDescent="0.2">
      <c r="A842">
        <v>938</v>
      </c>
      <c r="B842">
        <v>8.8999999999999999E-3</v>
      </c>
      <c r="C842">
        <v>4.4999999999999997E-3</v>
      </c>
      <c r="D842">
        <v>4.4000000000000003E-3</v>
      </c>
    </row>
    <row r="843" spans="1:4" x14ac:dyDescent="0.2">
      <c r="A843">
        <v>939</v>
      </c>
      <c r="B843">
        <v>8.8000000000000005E-3</v>
      </c>
      <c r="C843">
        <v>4.5999999999999999E-3</v>
      </c>
      <c r="D843">
        <v>4.1999999999999997E-3</v>
      </c>
    </row>
    <row r="844" spans="1:4" x14ac:dyDescent="0.2">
      <c r="A844">
        <v>940</v>
      </c>
      <c r="B844">
        <v>8.8000000000000005E-3</v>
      </c>
      <c r="C844">
        <v>4.5999999999999999E-3</v>
      </c>
      <c r="D844">
        <v>4.1999999999999997E-3</v>
      </c>
    </row>
    <row r="845" spans="1:4" x14ac:dyDescent="0.2">
      <c r="A845">
        <v>941</v>
      </c>
      <c r="B845">
        <v>8.6999999999999994E-3</v>
      </c>
      <c r="C845">
        <v>4.5999999999999999E-3</v>
      </c>
      <c r="D845">
        <v>4.1000000000000003E-3</v>
      </c>
    </row>
    <row r="846" spans="1:4" x14ac:dyDescent="0.2">
      <c r="A846">
        <v>942</v>
      </c>
      <c r="B846">
        <v>8.6999999999999994E-3</v>
      </c>
      <c r="C846">
        <v>4.5999999999999999E-3</v>
      </c>
      <c r="D846">
        <v>4.1000000000000003E-3</v>
      </c>
    </row>
    <row r="847" spans="1:4" x14ac:dyDescent="0.2">
      <c r="A847">
        <v>943</v>
      </c>
      <c r="B847">
        <v>8.6E-3</v>
      </c>
      <c r="C847">
        <v>4.5999999999999999E-3</v>
      </c>
      <c r="D847">
        <v>4.0000000000000001E-3</v>
      </c>
    </row>
    <row r="848" spans="1:4" x14ac:dyDescent="0.2">
      <c r="A848">
        <v>944</v>
      </c>
      <c r="B848">
        <v>8.5000000000000006E-3</v>
      </c>
      <c r="C848">
        <v>4.5999999999999999E-3</v>
      </c>
      <c r="D848">
        <v>3.8999999999999998E-3</v>
      </c>
    </row>
    <row r="849" spans="1:4" x14ac:dyDescent="0.2">
      <c r="A849">
        <v>945</v>
      </c>
      <c r="B849">
        <v>8.5000000000000006E-3</v>
      </c>
      <c r="C849">
        <v>4.4999999999999997E-3</v>
      </c>
      <c r="D849">
        <v>4.0000000000000001E-3</v>
      </c>
    </row>
    <row r="850" spans="1:4" x14ac:dyDescent="0.2">
      <c r="A850">
        <v>946</v>
      </c>
      <c r="B850">
        <v>8.3999999999999995E-3</v>
      </c>
      <c r="C850">
        <v>4.4999999999999997E-3</v>
      </c>
      <c r="D850">
        <v>3.8999999999999998E-3</v>
      </c>
    </row>
    <row r="851" spans="1:4" x14ac:dyDescent="0.2">
      <c r="A851">
        <v>947</v>
      </c>
      <c r="B851">
        <v>8.3000000000000001E-3</v>
      </c>
      <c r="C851">
        <v>4.4999999999999997E-3</v>
      </c>
      <c r="D851">
        <v>3.8E-3</v>
      </c>
    </row>
    <row r="852" spans="1:4" x14ac:dyDescent="0.2">
      <c r="A852">
        <v>948</v>
      </c>
      <c r="B852">
        <v>8.3000000000000001E-3</v>
      </c>
      <c r="C852">
        <v>4.4999999999999997E-3</v>
      </c>
      <c r="D852">
        <v>3.8E-3</v>
      </c>
    </row>
    <row r="853" spans="1:4" x14ac:dyDescent="0.2">
      <c r="A853">
        <v>949</v>
      </c>
      <c r="B853">
        <v>8.2000000000000007E-3</v>
      </c>
      <c r="C853">
        <v>4.4999999999999997E-3</v>
      </c>
      <c r="D853">
        <v>3.7000000000000002E-3</v>
      </c>
    </row>
    <row r="854" spans="1:4" x14ac:dyDescent="0.2">
      <c r="A854">
        <v>950</v>
      </c>
      <c r="B854">
        <v>8.0999999999999996E-3</v>
      </c>
      <c r="C854">
        <v>4.4999999999999997E-3</v>
      </c>
      <c r="D854">
        <v>3.5999999999999999E-3</v>
      </c>
    </row>
    <row r="855" spans="1:4" x14ac:dyDescent="0.2">
      <c r="A855">
        <v>951</v>
      </c>
      <c r="B855">
        <v>8.0999999999999996E-3</v>
      </c>
      <c r="C855">
        <v>4.4999999999999997E-3</v>
      </c>
      <c r="D855">
        <v>3.5999999999999999E-3</v>
      </c>
    </row>
    <row r="856" spans="1:4" x14ac:dyDescent="0.2">
      <c r="A856">
        <v>952</v>
      </c>
      <c r="B856">
        <v>8.0000000000000002E-3</v>
      </c>
      <c r="C856">
        <v>4.4999999999999997E-3</v>
      </c>
      <c r="D856">
        <v>3.5000000000000001E-3</v>
      </c>
    </row>
    <row r="857" spans="1:4" x14ac:dyDescent="0.2">
      <c r="A857">
        <v>953</v>
      </c>
      <c r="B857">
        <v>7.9000000000000008E-3</v>
      </c>
      <c r="C857">
        <v>4.4999999999999997E-3</v>
      </c>
      <c r="D857">
        <v>3.3999999999999998E-3</v>
      </c>
    </row>
    <row r="858" spans="1:4" x14ac:dyDescent="0.2">
      <c r="A858">
        <v>954</v>
      </c>
      <c r="B858">
        <v>7.9000000000000008E-3</v>
      </c>
      <c r="C858">
        <v>4.4999999999999997E-3</v>
      </c>
      <c r="D858">
        <v>3.3999999999999998E-3</v>
      </c>
    </row>
    <row r="859" spans="1:4" x14ac:dyDescent="0.2">
      <c r="A859">
        <v>955</v>
      </c>
      <c r="B859">
        <v>7.7999999999999996E-3</v>
      </c>
      <c r="C859">
        <v>4.4999999999999997E-3</v>
      </c>
      <c r="D859">
        <v>3.3E-3</v>
      </c>
    </row>
    <row r="860" spans="1:4" x14ac:dyDescent="0.2">
      <c r="A860">
        <v>956</v>
      </c>
      <c r="B860">
        <v>7.7000000000000002E-3</v>
      </c>
      <c r="C860">
        <v>4.4999999999999997E-3</v>
      </c>
      <c r="D860">
        <v>3.2000000000000002E-3</v>
      </c>
    </row>
    <row r="861" spans="1:4" x14ac:dyDescent="0.2">
      <c r="A861">
        <v>957</v>
      </c>
      <c r="B861">
        <v>7.7000000000000002E-3</v>
      </c>
      <c r="C861">
        <v>4.4999999999999997E-3</v>
      </c>
      <c r="D861">
        <v>3.2000000000000002E-3</v>
      </c>
    </row>
    <row r="862" spans="1:4" x14ac:dyDescent="0.2">
      <c r="A862">
        <v>958</v>
      </c>
      <c r="B862">
        <v>7.6E-3</v>
      </c>
      <c r="C862">
        <v>4.4999999999999997E-3</v>
      </c>
      <c r="D862">
        <v>3.0999999999999999E-3</v>
      </c>
    </row>
    <row r="863" spans="1:4" x14ac:dyDescent="0.2">
      <c r="A863">
        <v>959</v>
      </c>
      <c r="B863">
        <v>7.6E-3</v>
      </c>
      <c r="C863">
        <v>4.4999999999999997E-3</v>
      </c>
      <c r="D863">
        <v>3.0999999999999999E-3</v>
      </c>
    </row>
    <row r="864" spans="1:4" x14ac:dyDescent="0.2">
      <c r="A864">
        <v>960</v>
      </c>
      <c r="B864">
        <v>7.4999999999999997E-3</v>
      </c>
      <c r="C864">
        <v>4.4999999999999997E-3</v>
      </c>
      <c r="D864">
        <v>3.0000000000000001E-3</v>
      </c>
    </row>
    <row r="865" spans="1:4" x14ac:dyDescent="0.2">
      <c r="A865">
        <v>961</v>
      </c>
      <c r="B865">
        <v>7.4999999999999997E-3</v>
      </c>
      <c r="C865">
        <v>4.4999999999999997E-3</v>
      </c>
      <c r="D865">
        <v>3.0000000000000001E-3</v>
      </c>
    </row>
    <row r="866" spans="1:4" x14ac:dyDescent="0.2">
      <c r="A866">
        <v>962</v>
      </c>
      <c r="B866">
        <v>7.4000000000000003E-3</v>
      </c>
      <c r="C866">
        <v>4.4999999999999997E-3</v>
      </c>
      <c r="D866">
        <v>2.8999999999999998E-3</v>
      </c>
    </row>
    <row r="867" spans="1:4" x14ac:dyDescent="0.2">
      <c r="A867">
        <v>963</v>
      </c>
      <c r="B867">
        <v>7.3000000000000001E-3</v>
      </c>
      <c r="C867">
        <v>4.4999999999999997E-3</v>
      </c>
      <c r="D867">
        <v>2.8E-3</v>
      </c>
    </row>
    <row r="868" spans="1:4" x14ac:dyDescent="0.2">
      <c r="A868">
        <v>964</v>
      </c>
      <c r="B868">
        <v>7.3000000000000001E-3</v>
      </c>
      <c r="C868">
        <v>4.4999999999999997E-3</v>
      </c>
      <c r="D868">
        <v>2.8E-3</v>
      </c>
    </row>
    <row r="869" spans="1:4" x14ac:dyDescent="0.2">
      <c r="A869">
        <v>965</v>
      </c>
      <c r="B869">
        <v>7.1999999999999998E-3</v>
      </c>
      <c r="C869">
        <v>4.4999999999999997E-3</v>
      </c>
      <c r="D869">
        <v>2.7000000000000001E-3</v>
      </c>
    </row>
    <row r="870" spans="1:4" x14ac:dyDescent="0.2">
      <c r="A870">
        <v>966</v>
      </c>
      <c r="B870">
        <v>7.1999999999999998E-3</v>
      </c>
      <c r="C870">
        <v>4.4999999999999997E-3</v>
      </c>
      <c r="D870">
        <v>2.7000000000000001E-3</v>
      </c>
    </row>
    <row r="871" spans="1:4" x14ac:dyDescent="0.2">
      <c r="A871">
        <v>967</v>
      </c>
      <c r="B871">
        <v>7.1000000000000004E-3</v>
      </c>
      <c r="C871">
        <v>4.4999999999999997E-3</v>
      </c>
      <c r="D871">
        <v>2.5999999999999999E-3</v>
      </c>
    </row>
    <row r="872" spans="1:4" x14ac:dyDescent="0.2">
      <c r="A872">
        <v>968</v>
      </c>
      <c r="B872">
        <v>7.1000000000000004E-3</v>
      </c>
      <c r="C872">
        <v>4.4999999999999997E-3</v>
      </c>
      <c r="D872">
        <v>2.5999999999999999E-3</v>
      </c>
    </row>
    <row r="873" spans="1:4" x14ac:dyDescent="0.2">
      <c r="A873">
        <v>969</v>
      </c>
      <c r="B873">
        <v>7.0000000000000001E-3</v>
      </c>
      <c r="C873">
        <v>4.4999999999999997E-3</v>
      </c>
      <c r="D873">
        <v>2.5000000000000001E-3</v>
      </c>
    </row>
    <row r="874" spans="1:4" x14ac:dyDescent="0.2">
      <c r="A874">
        <v>970</v>
      </c>
      <c r="B874">
        <v>7.0000000000000001E-3</v>
      </c>
      <c r="C874">
        <v>4.4999999999999997E-3</v>
      </c>
      <c r="D874">
        <v>2.5000000000000001E-3</v>
      </c>
    </row>
    <row r="875" spans="1:4" x14ac:dyDescent="0.2">
      <c r="A875">
        <v>971</v>
      </c>
      <c r="B875">
        <v>6.8999999999999999E-3</v>
      </c>
      <c r="C875">
        <v>4.5999999999999999E-3</v>
      </c>
      <c r="D875">
        <v>2.3E-3</v>
      </c>
    </row>
    <row r="876" spans="1:4" x14ac:dyDescent="0.2">
      <c r="A876">
        <v>972</v>
      </c>
      <c r="B876">
        <v>6.8999999999999999E-3</v>
      </c>
      <c r="C876">
        <v>4.5999999999999999E-3</v>
      </c>
      <c r="D876">
        <v>2.3E-3</v>
      </c>
    </row>
    <row r="877" spans="1:4" x14ac:dyDescent="0.2">
      <c r="A877">
        <v>973</v>
      </c>
      <c r="B877">
        <v>6.7999999999999996E-3</v>
      </c>
      <c r="C877">
        <v>4.5999999999999999E-3</v>
      </c>
      <c r="D877">
        <v>2.2000000000000001E-3</v>
      </c>
    </row>
    <row r="878" spans="1:4" x14ac:dyDescent="0.2">
      <c r="A878">
        <v>974</v>
      </c>
      <c r="B878">
        <v>6.7999999999999996E-3</v>
      </c>
      <c r="C878">
        <v>4.5999999999999999E-3</v>
      </c>
      <c r="D878">
        <v>2.2000000000000001E-3</v>
      </c>
    </row>
    <row r="879" spans="1:4" x14ac:dyDescent="0.2">
      <c r="A879">
        <v>975</v>
      </c>
      <c r="B879">
        <v>6.7999999999999996E-3</v>
      </c>
      <c r="C879">
        <v>4.5999999999999999E-3</v>
      </c>
      <c r="D879">
        <v>2.2000000000000001E-3</v>
      </c>
    </row>
    <row r="880" spans="1:4" x14ac:dyDescent="0.2">
      <c r="A880">
        <v>976</v>
      </c>
      <c r="B880">
        <v>6.7000000000000002E-3</v>
      </c>
      <c r="C880">
        <v>4.5999999999999999E-3</v>
      </c>
      <c r="D880">
        <v>2.0999999999999999E-3</v>
      </c>
    </row>
    <row r="881" spans="1:4" x14ac:dyDescent="0.2">
      <c r="A881">
        <v>977</v>
      </c>
      <c r="B881">
        <v>6.7000000000000002E-3</v>
      </c>
      <c r="C881">
        <v>4.5999999999999999E-3</v>
      </c>
      <c r="D881">
        <v>2.0999999999999999E-3</v>
      </c>
    </row>
    <row r="882" spans="1:4" x14ac:dyDescent="0.2">
      <c r="A882">
        <v>978</v>
      </c>
      <c r="B882">
        <v>6.7000000000000002E-3</v>
      </c>
      <c r="C882">
        <v>4.5999999999999999E-3</v>
      </c>
      <c r="D882">
        <v>2.0999999999999999E-3</v>
      </c>
    </row>
    <row r="883" spans="1:4" x14ac:dyDescent="0.2">
      <c r="A883">
        <v>979</v>
      </c>
      <c r="B883">
        <v>6.6E-3</v>
      </c>
      <c r="C883">
        <v>4.5999999999999999E-3</v>
      </c>
      <c r="D883">
        <v>2E-3</v>
      </c>
    </row>
    <row r="884" spans="1:4" x14ac:dyDescent="0.2">
      <c r="A884">
        <v>980</v>
      </c>
      <c r="B884">
        <v>6.6E-3</v>
      </c>
      <c r="C884">
        <v>4.5999999999999999E-3</v>
      </c>
      <c r="D884">
        <v>2E-3</v>
      </c>
    </row>
    <row r="885" spans="1:4" x14ac:dyDescent="0.2">
      <c r="A885">
        <v>981</v>
      </c>
      <c r="B885">
        <v>6.4999999999999997E-3</v>
      </c>
      <c r="C885">
        <v>4.7000000000000002E-3</v>
      </c>
      <c r="D885">
        <v>1.8E-3</v>
      </c>
    </row>
    <row r="886" spans="1:4" x14ac:dyDescent="0.2">
      <c r="A886">
        <v>982</v>
      </c>
      <c r="B886">
        <v>6.4999999999999997E-3</v>
      </c>
      <c r="C886">
        <v>4.7000000000000002E-3</v>
      </c>
      <c r="D886">
        <v>1.8E-3</v>
      </c>
    </row>
    <row r="887" spans="1:4" x14ac:dyDescent="0.2">
      <c r="A887">
        <v>983</v>
      </c>
      <c r="B887">
        <v>6.4999999999999997E-3</v>
      </c>
      <c r="C887">
        <v>4.7000000000000002E-3</v>
      </c>
      <c r="D887">
        <v>1.8E-3</v>
      </c>
    </row>
    <row r="888" spans="1:4" x14ac:dyDescent="0.2">
      <c r="A888">
        <v>984</v>
      </c>
      <c r="B888">
        <v>6.4000000000000003E-3</v>
      </c>
      <c r="C888">
        <v>4.7000000000000002E-3</v>
      </c>
      <c r="D888">
        <v>1.6999999999999999E-3</v>
      </c>
    </row>
    <row r="889" spans="1:4" x14ac:dyDescent="0.2">
      <c r="A889">
        <v>985</v>
      </c>
      <c r="B889">
        <v>6.4000000000000003E-3</v>
      </c>
      <c r="C889">
        <v>4.7000000000000002E-3</v>
      </c>
      <c r="D889">
        <v>1.6999999999999999E-3</v>
      </c>
    </row>
    <row r="890" spans="1:4" x14ac:dyDescent="0.2">
      <c r="A890">
        <v>986</v>
      </c>
      <c r="B890">
        <v>6.4000000000000003E-3</v>
      </c>
      <c r="C890">
        <v>4.7000000000000002E-3</v>
      </c>
      <c r="D890">
        <v>1.6999999999999999E-3</v>
      </c>
    </row>
    <row r="891" spans="1:4" x14ac:dyDescent="0.2">
      <c r="A891">
        <v>987</v>
      </c>
      <c r="B891">
        <v>6.3E-3</v>
      </c>
      <c r="C891">
        <v>4.7000000000000002E-3</v>
      </c>
      <c r="D891">
        <v>1.6000000000000001E-3</v>
      </c>
    </row>
    <row r="892" spans="1:4" x14ac:dyDescent="0.2">
      <c r="A892">
        <v>988</v>
      </c>
      <c r="B892">
        <v>6.3E-3</v>
      </c>
      <c r="C892">
        <v>4.7000000000000002E-3</v>
      </c>
      <c r="D892">
        <v>1.6000000000000001E-3</v>
      </c>
    </row>
    <row r="893" spans="1:4" x14ac:dyDescent="0.2">
      <c r="A893">
        <v>989</v>
      </c>
      <c r="B893">
        <v>6.1999999999999998E-3</v>
      </c>
      <c r="C893">
        <v>4.7000000000000002E-3</v>
      </c>
      <c r="D893">
        <v>1.5E-3</v>
      </c>
    </row>
    <row r="894" spans="1:4" x14ac:dyDescent="0.2">
      <c r="A894">
        <v>990</v>
      </c>
      <c r="B894">
        <v>6.1999999999999998E-3</v>
      </c>
      <c r="C894">
        <v>4.7999999999999996E-3</v>
      </c>
      <c r="D894">
        <v>1.4E-3</v>
      </c>
    </row>
    <row r="895" spans="1:4" x14ac:dyDescent="0.2">
      <c r="A895">
        <v>991</v>
      </c>
      <c r="B895">
        <v>6.1999999999999998E-3</v>
      </c>
      <c r="C895">
        <v>4.7999999999999996E-3</v>
      </c>
      <c r="D895">
        <v>1.4E-3</v>
      </c>
    </row>
    <row r="896" spans="1:4" x14ac:dyDescent="0.2">
      <c r="A896">
        <v>992</v>
      </c>
      <c r="B896">
        <v>6.1000000000000004E-3</v>
      </c>
      <c r="C896">
        <v>4.7999999999999996E-3</v>
      </c>
      <c r="D896">
        <v>1.2999999999999999E-3</v>
      </c>
    </row>
    <row r="897" spans="1:4" x14ac:dyDescent="0.2">
      <c r="A897">
        <v>993</v>
      </c>
      <c r="B897">
        <v>6.1000000000000004E-3</v>
      </c>
      <c r="C897">
        <v>4.7999999999999996E-3</v>
      </c>
      <c r="D897">
        <v>1.2999999999999999E-3</v>
      </c>
    </row>
    <row r="898" spans="1:4" x14ac:dyDescent="0.2">
      <c r="A898">
        <v>994</v>
      </c>
      <c r="B898">
        <v>6.1000000000000004E-3</v>
      </c>
      <c r="C898">
        <v>4.7999999999999996E-3</v>
      </c>
      <c r="D898">
        <v>1.2999999999999999E-3</v>
      </c>
    </row>
    <row r="899" spans="1:4" x14ac:dyDescent="0.2">
      <c r="A899">
        <v>995</v>
      </c>
      <c r="B899">
        <v>6.0000000000000001E-3</v>
      </c>
      <c r="C899">
        <v>4.7999999999999996E-3</v>
      </c>
      <c r="D899">
        <v>1.1999999999999999E-3</v>
      </c>
    </row>
    <row r="900" spans="1:4" x14ac:dyDescent="0.2">
      <c r="A900">
        <v>996</v>
      </c>
      <c r="B900">
        <v>6.0000000000000001E-3</v>
      </c>
      <c r="C900">
        <v>4.7999999999999996E-3</v>
      </c>
      <c r="D900">
        <v>1.1999999999999999E-3</v>
      </c>
    </row>
    <row r="901" spans="1:4" x14ac:dyDescent="0.2">
      <c r="A901">
        <v>997</v>
      </c>
      <c r="B901">
        <v>6.0000000000000001E-3</v>
      </c>
      <c r="C901">
        <v>4.7999999999999996E-3</v>
      </c>
      <c r="D901">
        <v>1.1999999999999999E-3</v>
      </c>
    </row>
    <row r="902" spans="1:4" x14ac:dyDescent="0.2">
      <c r="A902">
        <v>998</v>
      </c>
      <c r="B902">
        <v>5.8999999999999999E-3</v>
      </c>
      <c r="C902">
        <v>4.8999999999999998E-3</v>
      </c>
      <c r="D902">
        <v>1E-3</v>
      </c>
    </row>
    <row r="903" spans="1:4" x14ac:dyDescent="0.2">
      <c r="A903">
        <v>999</v>
      </c>
      <c r="B903">
        <v>5.8999999999999999E-3</v>
      </c>
      <c r="C903">
        <v>4.8999999999999998E-3</v>
      </c>
      <c r="D903">
        <v>1E-3</v>
      </c>
    </row>
    <row r="904" spans="1:4" x14ac:dyDescent="0.2">
      <c r="A904">
        <v>1000</v>
      </c>
      <c r="B904">
        <v>5.8999999999999999E-3</v>
      </c>
      <c r="C904">
        <v>4.8999999999999998E-3</v>
      </c>
      <c r="D904">
        <v>1E-3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F688E-56BD-0848-9AE9-A432AC3648F6}">
  <dimension ref="A1:D903"/>
  <sheetViews>
    <sheetView topLeftCell="A18" workbookViewId="0">
      <selection activeCell="A150" sqref="A150:D150"/>
    </sheetView>
  </sheetViews>
  <sheetFormatPr baseColWidth="10" defaultRowHeight="16" x14ac:dyDescent="0.2"/>
  <cols>
    <col min="1" max="1" width="44.6640625" style="4" customWidth="1"/>
    <col min="2" max="3" width="10.83203125" style="4"/>
    <col min="4" max="4" width="26.1640625" style="4" customWidth="1"/>
  </cols>
  <sheetData>
    <row r="1" spans="1:4" ht="32" x14ac:dyDescent="0.2">
      <c r="A1" s="30" t="s">
        <v>1147</v>
      </c>
      <c r="B1" s="30"/>
      <c r="C1" s="30"/>
      <c r="D1" s="30"/>
    </row>
    <row r="2" spans="1:4" x14ac:dyDescent="0.2">
      <c r="A2" s="4" t="s">
        <v>961</v>
      </c>
      <c r="B2" s="4" t="s">
        <v>962</v>
      </c>
      <c r="C2" s="4" t="s">
        <v>1145</v>
      </c>
      <c r="D2" s="4" t="s">
        <v>1146</v>
      </c>
    </row>
    <row r="3" spans="1:4" x14ac:dyDescent="0.2">
      <c r="A3" s="4">
        <v>100</v>
      </c>
      <c r="B3" s="4">
        <v>1.2999999999999999E-3</v>
      </c>
      <c r="C3" s="4">
        <v>0</v>
      </c>
      <c r="D3" s="4">
        <f t="shared" ref="D3:D66" si="0">B3-C3</f>
        <v>1.2999999999999999E-3</v>
      </c>
    </row>
    <row r="4" spans="1:4" x14ac:dyDescent="0.2">
      <c r="A4" s="4">
        <v>101</v>
      </c>
      <c r="B4" s="4">
        <v>2E-3</v>
      </c>
      <c r="C4" s="4">
        <v>0</v>
      </c>
      <c r="D4" s="4">
        <f t="shared" si="0"/>
        <v>2E-3</v>
      </c>
    </row>
    <row r="5" spans="1:4" x14ac:dyDescent="0.2">
      <c r="A5" s="4">
        <v>102</v>
      </c>
      <c r="B5" s="4">
        <v>5.7000000000000002E-3</v>
      </c>
      <c r="C5" s="4">
        <v>0</v>
      </c>
      <c r="D5" s="4">
        <f t="shared" si="0"/>
        <v>5.7000000000000002E-3</v>
      </c>
    </row>
    <row r="6" spans="1:4" x14ac:dyDescent="0.2">
      <c r="A6" s="4">
        <v>103</v>
      </c>
      <c r="B6" s="4">
        <v>1.44E-2</v>
      </c>
      <c r="C6" s="4">
        <v>0</v>
      </c>
      <c r="D6" s="4">
        <f t="shared" si="0"/>
        <v>1.44E-2</v>
      </c>
    </row>
    <row r="7" spans="1:4" x14ac:dyDescent="0.2">
      <c r="A7" s="4">
        <v>104</v>
      </c>
      <c r="B7" s="4">
        <v>3.04E-2</v>
      </c>
      <c r="C7" s="4">
        <v>0</v>
      </c>
      <c r="D7" s="4">
        <f t="shared" si="0"/>
        <v>3.04E-2</v>
      </c>
    </row>
    <row r="8" spans="1:4" x14ac:dyDescent="0.2">
      <c r="A8" s="4">
        <v>105</v>
      </c>
      <c r="B8" s="4">
        <v>6.3200000000000006E-2</v>
      </c>
      <c r="C8" s="4">
        <v>0</v>
      </c>
      <c r="D8" s="4">
        <f t="shared" si="0"/>
        <v>6.3200000000000006E-2</v>
      </c>
    </row>
    <row r="9" spans="1:4" x14ac:dyDescent="0.2">
      <c r="A9" s="4">
        <v>106</v>
      </c>
      <c r="B9" s="4">
        <v>0.13120000000000001</v>
      </c>
      <c r="C9" s="4">
        <v>0</v>
      </c>
      <c r="D9" s="4">
        <f t="shared" si="0"/>
        <v>0.13120000000000001</v>
      </c>
    </row>
    <row r="10" spans="1:4" x14ac:dyDescent="0.2">
      <c r="A10" s="4">
        <v>107</v>
      </c>
      <c r="B10" s="4">
        <v>0.24060000000000001</v>
      </c>
      <c r="C10" s="4">
        <v>0</v>
      </c>
      <c r="D10" s="4">
        <f t="shared" si="0"/>
        <v>0.24060000000000001</v>
      </c>
    </row>
    <row r="11" spans="1:4" x14ac:dyDescent="0.2">
      <c r="A11" s="4">
        <v>108</v>
      </c>
      <c r="B11" s="4">
        <v>0.33489999999999998</v>
      </c>
      <c r="C11" s="4">
        <v>0</v>
      </c>
      <c r="D11" s="4">
        <f t="shared" si="0"/>
        <v>0.33489999999999998</v>
      </c>
    </row>
    <row r="12" spans="1:4" x14ac:dyDescent="0.2">
      <c r="A12" s="4">
        <v>109</v>
      </c>
      <c r="B12" s="4">
        <v>0.46689999999999998</v>
      </c>
      <c r="C12" s="4">
        <v>0</v>
      </c>
      <c r="D12" s="4">
        <f t="shared" si="0"/>
        <v>0.46689999999999998</v>
      </c>
    </row>
    <row r="13" spans="1:4" x14ac:dyDescent="0.2">
      <c r="A13" s="4">
        <v>110</v>
      </c>
      <c r="B13" s="4">
        <v>0.65490000000000004</v>
      </c>
      <c r="C13" s="4">
        <v>0</v>
      </c>
      <c r="D13" s="4">
        <f t="shared" si="0"/>
        <v>0.65490000000000004</v>
      </c>
    </row>
    <row r="14" spans="1:4" x14ac:dyDescent="0.2">
      <c r="A14" s="4">
        <v>111</v>
      </c>
      <c r="B14" s="4">
        <v>0.61299999999999999</v>
      </c>
      <c r="C14" s="4">
        <v>0</v>
      </c>
      <c r="D14" s="4">
        <f t="shared" si="0"/>
        <v>0.61299999999999999</v>
      </c>
    </row>
    <row r="15" spans="1:4" x14ac:dyDescent="0.2">
      <c r="A15" s="4">
        <v>112</v>
      </c>
      <c r="B15" s="4">
        <v>0.53590000000000004</v>
      </c>
      <c r="C15" s="4">
        <v>0</v>
      </c>
      <c r="D15" s="4">
        <f t="shared" si="0"/>
        <v>0.53590000000000004</v>
      </c>
    </row>
    <row r="16" spans="1:4" x14ac:dyDescent="0.2">
      <c r="A16" s="4">
        <v>113</v>
      </c>
      <c r="B16" s="4">
        <v>0.44259999999999999</v>
      </c>
      <c r="C16" s="4">
        <v>0</v>
      </c>
      <c r="D16" s="4">
        <f t="shared" si="0"/>
        <v>0.44259999999999999</v>
      </c>
    </row>
    <row r="17" spans="1:4" x14ac:dyDescent="0.2">
      <c r="A17" s="4">
        <v>114</v>
      </c>
      <c r="B17" s="4">
        <v>0.34389999999999998</v>
      </c>
      <c r="C17" s="4">
        <v>0</v>
      </c>
      <c r="D17" s="4">
        <f t="shared" si="0"/>
        <v>0.34389999999999998</v>
      </c>
    </row>
    <row r="18" spans="1:4" x14ac:dyDescent="0.2">
      <c r="A18" s="4">
        <v>115</v>
      </c>
      <c r="B18" s="4">
        <v>0.26869999999999999</v>
      </c>
      <c r="C18" s="4">
        <v>0</v>
      </c>
      <c r="D18" s="4">
        <f t="shared" si="0"/>
        <v>0.26869999999999999</v>
      </c>
    </row>
    <row r="19" spans="1:4" x14ac:dyDescent="0.2">
      <c r="A19" s="4">
        <v>116</v>
      </c>
      <c r="B19" s="4">
        <v>0.22040000000000001</v>
      </c>
      <c r="C19" s="4">
        <v>0</v>
      </c>
      <c r="D19" s="4">
        <f t="shared" si="0"/>
        <v>0.22040000000000001</v>
      </c>
    </row>
    <row r="20" spans="1:4" x14ac:dyDescent="0.2">
      <c r="A20" s="4">
        <v>117</v>
      </c>
      <c r="B20" s="4">
        <v>0.2001</v>
      </c>
      <c r="C20" s="4">
        <v>0</v>
      </c>
      <c r="D20" s="4">
        <f t="shared" si="0"/>
        <v>0.2001</v>
      </c>
    </row>
    <row r="21" spans="1:4" x14ac:dyDescent="0.2">
      <c r="A21" s="4">
        <v>118</v>
      </c>
      <c r="B21" s="4">
        <v>0.18790000000000001</v>
      </c>
      <c r="C21" s="4">
        <v>0</v>
      </c>
      <c r="D21" s="4">
        <f t="shared" si="0"/>
        <v>0.18790000000000001</v>
      </c>
    </row>
    <row r="22" spans="1:4" x14ac:dyDescent="0.2">
      <c r="A22" s="4">
        <v>119</v>
      </c>
      <c r="B22" s="4">
        <v>0.17979999999999999</v>
      </c>
      <c r="C22" s="4">
        <v>0</v>
      </c>
      <c r="D22" s="4">
        <f t="shared" si="0"/>
        <v>0.17979999999999999</v>
      </c>
    </row>
    <row r="23" spans="1:4" x14ac:dyDescent="0.2">
      <c r="A23" s="4">
        <v>120</v>
      </c>
      <c r="B23" s="4">
        <v>0.17549999999999999</v>
      </c>
      <c r="C23" s="4">
        <v>0</v>
      </c>
      <c r="D23" s="4">
        <f t="shared" si="0"/>
        <v>0.17549999999999999</v>
      </c>
    </row>
    <row r="24" spans="1:4" x14ac:dyDescent="0.2">
      <c r="A24" s="4">
        <v>121</v>
      </c>
      <c r="B24" s="4">
        <v>0.17380000000000001</v>
      </c>
      <c r="C24" s="4">
        <v>0</v>
      </c>
      <c r="D24" s="4">
        <f t="shared" si="0"/>
        <v>0.17380000000000001</v>
      </c>
    </row>
    <row r="25" spans="1:4" x14ac:dyDescent="0.2">
      <c r="A25" s="162">
        <v>122</v>
      </c>
      <c r="B25" s="162">
        <v>0.17560000000000001</v>
      </c>
      <c r="C25" s="162">
        <v>0</v>
      </c>
      <c r="D25" s="162">
        <f t="shared" si="0"/>
        <v>0.17560000000000001</v>
      </c>
    </row>
    <row r="26" spans="1:4" x14ac:dyDescent="0.2">
      <c r="A26" s="4">
        <v>123</v>
      </c>
      <c r="B26" s="4">
        <v>0.182</v>
      </c>
      <c r="C26" s="4">
        <v>0</v>
      </c>
      <c r="D26" s="4">
        <f t="shared" si="0"/>
        <v>0.182</v>
      </c>
    </row>
    <row r="27" spans="1:4" x14ac:dyDescent="0.2">
      <c r="A27" s="4">
        <v>124</v>
      </c>
      <c r="B27" s="4">
        <v>0.1946</v>
      </c>
      <c r="C27" s="4">
        <v>0</v>
      </c>
      <c r="D27" s="4">
        <f t="shared" si="0"/>
        <v>0.1946</v>
      </c>
    </row>
    <row r="28" spans="1:4" x14ac:dyDescent="0.2">
      <c r="A28" s="4">
        <v>125</v>
      </c>
      <c r="B28" s="4">
        <v>0.21540000000000001</v>
      </c>
      <c r="C28" s="4">
        <v>0</v>
      </c>
      <c r="D28" s="4">
        <f t="shared" si="0"/>
        <v>0.21540000000000001</v>
      </c>
    </row>
    <row r="29" spans="1:4" x14ac:dyDescent="0.2">
      <c r="A29" s="4">
        <v>126</v>
      </c>
      <c r="B29" s="4">
        <v>0.24529999999999999</v>
      </c>
      <c r="C29" s="4">
        <v>0</v>
      </c>
      <c r="D29" s="4">
        <f t="shared" si="0"/>
        <v>0.24529999999999999</v>
      </c>
    </row>
    <row r="30" spans="1:4" x14ac:dyDescent="0.2">
      <c r="A30" s="4">
        <v>127</v>
      </c>
      <c r="B30" s="4">
        <v>0.28799999999999998</v>
      </c>
      <c r="C30" s="4">
        <v>0</v>
      </c>
      <c r="D30" s="4">
        <f t="shared" si="0"/>
        <v>0.28799999999999998</v>
      </c>
    </row>
    <row r="31" spans="1:4" x14ac:dyDescent="0.2">
      <c r="A31" s="4">
        <v>128</v>
      </c>
      <c r="B31" s="4">
        <v>0.34899999999999998</v>
      </c>
      <c r="C31" s="4">
        <v>0</v>
      </c>
      <c r="D31" s="4">
        <f t="shared" si="0"/>
        <v>0.34899999999999998</v>
      </c>
    </row>
    <row r="32" spans="1:4" x14ac:dyDescent="0.2">
      <c r="A32" s="4">
        <v>129</v>
      </c>
      <c r="B32" s="4">
        <v>0.43640000000000001</v>
      </c>
      <c r="C32" s="4">
        <v>0</v>
      </c>
      <c r="D32" s="4">
        <f t="shared" si="0"/>
        <v>0.43640000000000001</v>
      </c>
    </row>
    <row r="33" spans="1:4" x14ac:dyDescent="0.2">
      <c r="A33" s="162">
        <v>130</v>
      </c>
      <c r="B33" s="162">
        <v>0.56369999999999998</v>
      </c>
      <c r="C33" s="162">
        <v>0</v>
      </c>
      <c r="D33" s="162">
        <f t="shared" si="0"/>
        <v>0.56369999999999998</v>
      </c>
    </row>
    <row r="34" spans="1:4" x14ac:dyDescent="0.2">
      <c r="A34" s="4">
        <v>131</v>
      </c>
      <c r="B34" s="4">
        <v>0.75390000000000001</v>
      </c>
      <c r="C34" s="4">
        <v>0</v>
      </c>
      <c r="D34" s="4">
        <f t="shared" si="0"/>
        <v>0.75390000000000001</v>
      </c>
    </row>
    <row r="35" spans="1:4" x14ac:dyDescent="0.2">
      <c r="A35" s="4">
        <v>132</v>
      </c>
      <c r="B35" s="4">
        <v>1.0461</v>
      </c>
      <c r="C35" s="4">
        <v>0</v>
      </c>
      <c r="D35" s="4">
        <f t="shared" si="0"/>
        <v>1.0461</v>
      </c>
    </row>
    <row r="36" spans="1:4" x14ac:dyDescent="0.2">
      <c r="A36" s="4">
        <v>133</v>
      </c>
      <c r="B36" s="4">
        <v>1.5091000000000001</v>
      </c>
      <c r="C36" s="4">
        <v>0</v>
      </c>
      <c r="D36" s="4">
        <f t="shared" si="0"/>
        <v>1.5091000000000001</v>
      </c>
    </row>
    <row r="37" spans="1:4" x14ac:dyDescent="0.2">
      <c r="A37" s="4">
        <v>134</v>
      </c>
      <c r="B37" s="4">
        <v>2.0165999999999999</v>
      </c>
      <c r="C37" s="4">
        <v>0</v>
      </c>
      <c r="D37" s="4">
        <f t="shared" si="0"/>
        <v>2.0165999999999999</v>
      </c>
    </row>
    <row r="38" spans="1:4" x14ac:dyDescent="0.2">
      <c r="A38" s="4">
        <v>135</v>
      </c>
      <c r="B38" s="4">
        <v>2.2955999999999999</v>
      </c>
      <c r="C38" s="4">
        <v>0</v>
      </c>
      <c r="D38" s="4">
        <f t="shared" si="0"/>
        <v>2.2955999999999999</v>
      </c>
    </row>
    <row r="39" spans="1:4" x14ac:dyDescent="0.2">
      <c r="A39" s="162">
        <v>136</v>
      </c>
      <c r="B39" s="162">
        <v>2.6232000000000002</v>
      </c>
      <c r="C39" s="162">
        <v>0</v>
      </c>
      <c r="D39" s="162">
        <f t="shared" si="0"/>
        <v>2.6232000000000002</v>
      </c>
    </row>
    <row r="40" spans="1:4" x14ac:dyDescent="0.2">
      <c r="A40" s="4">
        <v>137</v>
      </c>
      <c r="B40" s="4">
        <v>3.0116000000000001</v>
      </c>
      <c r="C40" s="4">
        <v>0</v>
      </c>
      <c r="D40" s="4">
        <f t="shared" si="0"/>
        <v>3.0116000000000001</v>
      </c>
    </row>
    <row r="41" spans="1:4" x14ac:dyDescent="0.2">
      <c r="A41" s="4">
        <v>138</v>
      </c>
      <c r="B41" s="4">
        <v>3.4748000000000001</v>
      </c>
      <c r="C41" s="4">
        <v>0</v>
      </c>
      <c r="D41" s="4">
        <f t="shared" si="0"/>
        <v>3.4748000000000001</v>
      </c>
    </row>
    <row r="42" spans="1:4" x14ac:dyDescent="0.2">
      <c r="A42" s="4">
        <v>139</v>
      </c>
      <c r="B42" s="4">
        <v>4.0343</v>
      </c>
      <c r="C42" s="4">
        <v>0</v>
      </c>
      <c r="D42" s="4">
        <f t="shared" si="0"/>
        <v>4.0343</v>
      </c>
    </row>
    <row r="43" spans="1:4" x14ac:dyDescent="0.2">
      <c r="A43" s="4">
        <v>140</v>
      </c>
      <c r="B43" s="4">
        <v>4.7024999999999997</v>
      </c>
      <c r="C43" s="4">
        <v>0</v>
      </c>
      <c r="D43" s="4">
        <f t="shared" si="0"/>
        <v>4.7024999999999997</v>
      </c>
    </row>
    <row r="44" spans="1:4" x14ac:dyDescent="0.2">
      <c r="A44" s="4">
        <v>141</v>
      </c>
      <c r="B44" s="4">
        <v>5.5052000000000003</v>
      </c>
      <c r="C44" s="4">
        <v>0</v>
      </c>
      <c r="D44" s="4">
        <f t="shared" si="0"/>
        <v>5.5052000000000003</v>
      </c>
    </row>
    <row r="45" spans="1:4" x14ac:dyDescent="0.2">
      <c r="A45" s="4">
        <v>142</v>
      </c>
      <c r="B45" s="4">
        <v>6.4678000000000004</v>
      </c>
      <c r="C45" s="4">
        <v>0</v>
      </c>
      <c r="D45" s="4">
        <f t="shared" si="0"/>
        <v>6.4678000000000004</v>
      </c>
    </row>
    <row r="46" spans="1:4" x14ac:dyDescent="0.2">
      <c r="A46" s="4">
        <v>143</v>
      </c>
      <c r="B46" s="4">
        <v>7.6241000000000003</v>
      </c>
      <c r="C46" s="4">
        <v>0</v>
      </c>
      <c r="D46" s="4">
        <f t="shared" si="0"/>
        <v>7.6241000000000003</v>
      </c>
    </row>
    <row r="47" spans="1:4" x14ac:dyDescent="0.2">
      <c r="A47" s="4">
        <v>144</v>
      </c>
      <c r="B47" s="4">
        <v>9.0917999999999992</v>
      </c>
      <c r="C47" s="4">
        <v>0</v>
      </c>
      <c r="D47" s="4">
        <f t="shared" si="0"/>
        <v>9.0917999999999992</v>
      </c>
    </row>
    <row r="48" spans="1:4" x14ac:dyDescent="0.2">
      <c r="A48" s="4">
        <v>145</v>
      </c>
      <c r="B48" s="4">
        <v>11.012600000000001</v>
      </c>
      <c r="C48" s="4">
        <v>0</v>
      </c>
      <c r="D48" s="4">
        <f t="shared" si="0"/>
        <v>11.012600000000001</v>
      </c>
    </row>
    <row r="49" spans="1:4" x14ac:dyDescent="0.2">
      <c r="A49" s="4">
        <v>146</v>
      </c>
      <c r="B49" s="4">
        <v>13.3231</v>
      </c>
      <c r="C49" s="4">
        <v>0</v>
      </c>
      <c r="D49" s="4">
        <f t="shared" si="0"/>
        <v>13.3231</v>
      </c>
    </row>
    <row r="50" spans="1:4" x14ac:dyDescent="0.2">
      <c r="A50" s="4">
        <v>147</v>
      </c>
      <c r="B50" s="4">
        <v>16.090399999999999</v>
      </c>
      <c r="C50" s="4">
        <v>0</v>
      </c>
      <c r="D50" s="4">
        <f t="shared" si="0"/>
        <v>16.090399999999999</v>
      </c>
    </row>
    <row r="51" spans="1:4" x14ac:dyDescent="0.2">
      <c r="A51" s="4">
        <v>148</v>
      </c>
      <c r="B51" s="4">
        <v>19.309100000000001</v>
      </c>
      <c r="C51" s="4">
        <v>0</v>
      </c>
      <c r="D51" s="4">
        <f t="shared" si="0"/>
        <v>19.309100000000001</v>
      </c>
    </row>
    <row r="52" spans="1:4" x14ac:dyDescent="0.2">
      <c r="A52" s="4">
        <v>149</v>
      </c>
      <c r="B52" s="4">
        <v>22.942</v>
      </c>
      <c r="C52" s="4">
        <v>0</v>
      </c>
      <c r="D52" s="4">
        <f t="shared" si="0"/>
        <v>22.942</v>
      </c>
    </row>
    <row r="53" spans="1:4" x14ac:dyDescent="0.2">
      <c r="A53" s="4">
        <v>150</v>
      </c>
      <c r="B53" s="4">
        <v>26.883099999999999</v>
      </c>
      <c r="C53" s="4">
        <v>0</v>
      </c>
      <c r="D53" s="4">
        <f t="shared" si="0"/>
        <v>26.883099999999999</v>
      </c>
    </row>
    <row r="54" spans="1:4" x14ac:dyDescent="0.2">
      <c r="A54" s="4">
        <v>151</v>
      </c>
      <c r="B54" s="4">
        <v>30.974399999999999</v>
      </c>
      <c r="C54" s="4">
        <v>0</v>
      </c>
      <c r="D54" s="4">
        <f t="shared" si="0"/>
        <v>30.974399999999999</v>
      </c>
    </row>
    <row r="55" spans="1:4" x14ac:dyDescent="0.2">
      <c r="A55" s="4">
        <v>152</v>
      </c>
      <c r="B55" s="4">
        <v>34.964300000000001</v>
      </c>
      <c r="C55" s="4">
        <v>0</v>
      </c>
      <c r="D55" s="4">
        <f t="shared" si="0"/>
        <v>34.964300000000001</v>
      </c>
    </row>
    <row r="56" spans="1:4" x14ac:dyDescent="0.2">
      <c r="A56" s="4">
        <v>153</v>
      </c>
      <c r="B56" s="4">
        <v>38.599499999999999</v>
      </c>
      <c r="C56" s="4">
        <v>0</v>
      </c>
      <c r="D56" s="4">
        <f t="shared" si="0"/>
        <v>38.599499999999999</v>
      </c>
    </row>
    <row r="57" spans="1:4" x14ac:dyDescent="0.2">
      <c r="A57" s="4">
        <v>154</v>
      </c>
      <c r="B57" s="4">
        <v>41.679900000000004</v>
      </c>
      <c r="C57" s="4">
        <v>0</v>
      </c>
      <c r="D57" s="4">
        <f t="shared" si="0"/>
        <v>41.679900000000004</v>
      </c>
    </row>
    <row r="58" spans="1:4" x14ac:dyDescent="0.2">
      <c r="A58" s="4">
        <v>155</v>
      </c>
      <c r="B58" s="4">
        <v>44.751600000000003</v>
      </c>
      <c r="C58" s="4">
        <v>0</v>
      </c>
      <c r="D58" s="4">
        <f t="shared" si="0"/>
        <v>44.751600000000003</v>
      </c>
    </row>
    <row r="59" spans="1:4" x14ac:dyDescent="0.2">
      <c r="A59" s="4">
        <v>156</v>
      </c>
      <c r="B59" s="4">
        <v>46.504100000000001</v>
      </c>
      <c r="C59" s="4">
        <v>0</v>
      </c>
      <c r="D59" s="4">
        <f t="shared" si="0"/>
        <v>46.504100000000001</v>
      </c>
    </row>
    <row r="60" spans="1:4" x14ac:dyDescent="0.2">
      <c r="A60" s="4">
        <v>157</v>
      </c>
      <c r="B60" s="4">
        <v>46.707700000000003</v>
      </c>
      <c r="C60" s="4">
        <v>0</v>
      </c>
      <c r="D60" s="4">
        <f t="shared" si="0"/>
        <v>46.707700000000003</v>
      </c>
    </row>
    <row r="61" spans="1:4" x14ac:dyDescent="0.2">
      <c r="A61" s="4">
        <v>158</v>
      </c>
      <c r="B61" s="4">
        <v>46.348599999999998</v>
      </c>
      <c r="C61" s="4">
        <v>0</v>
      </c>
      <c r="D61" s="4">
        <f t="shared" si="0"/>
        <v>46.348599999999998</v>
      </c>
    </row>
    <row r="62" spans="1:4" x14ac:dyDescent="0.2">
      <c r="A62" s="4">
        <v>159</v>
      </c>
      <c r="B62" s="4">
        <v>45.918900000000001</v>
      </c>
      <c r="C62" s="4">
        <v>0</v>
      </c>
      <c r="D62" s="4">
        <f t="shared" si="0"/>
        <v>45.918900000000001</v>
      </c>
    </row>
    <row r="63" spans="1:4" x14ac:dyDescent="0.2">
      <c r="A63" s="4">
        <v>160</v>
      </c>
      <c r="B63" s="4">
        <v>45.5</v>
      </c>
      <c r="C63" s="4">
        <v>0</v>
      </c>
      <c r="D63" s="4">
        <f t="shared" si="0"/>
        <v>45.5</v>
      </c>
    </row>
    <row r="64" spans="1:4" x14ac:dyDescent="0.2">
      <c r="A64" s="4">
        <v>161</v>
      </c>
      <c r="B64" s="4">
        <v>44.945999999999998</v>
      </c>
      <c r="C64" s="4">
        <v>0</v>
      </c>
      <c r="D64" s="4">
        <f t="shared" si="0"/>
        <v>44.945999999999998</v>
      </c>
    </row>
    <row r="65" spans="1:4" x14ac:dyDescent="0.2">
      <c r="A65" s="4">
        <v>162</v>
      </c>
      <c r="B65" s="4">
        <v>44.373800000000003</v>
      </c>
      <c r="C65" s="4">
        <v>0</v>
      </c>
      <c r="D65" s="4">
        <f t="shared" si="0"/>
        <v>44.373800000000003</v>
      </c>
    </row>
    <row r="66" spans="1:4" x14ac:dyDescent="0.2">
      <c r="A66" s="4">
        <v>163</v>
      </c>
      <c r="B66" s="4">
        <v>43.521500000000003</v>
      </c>
      <c r="C66" s="4">
        <v>0</v>
      </c>
      <c r="D66" s="4">
        <f t="shared" si="0"/>
        <v>43.521500000000003</v>
      </c>
    </row>
    <row r="67" spans="1:4" x14ac:dyDescent="0.2">
      <c r="A67" s="4">
        <v>164</v>
      </c>
      <c r="B67" s="4">
        <v>42.331699999999998</v>
      </c>
      <c r="C67" s="4">
        <v>0</v>
      </c>
      <c r="D67" s="4">
        <f t="shared" ref="D67:D130" si="1">B67-C67</f>
        <v>42.331699999999998</v>
      </c>
    </row>
    <row r="68" spans="1:4" x14ac:dyDescent="0.2">
      <c r="A68" s="4">
        <v>165</v>
      </c>
      <c r="B68" s="4">
        <v>40.773299999999999</v>
      </c>
      <c r="C68" s="4">
        <v>0</v>
      </c>
      <c r="D68" s="4">
        <f t="shared" si="1"/>
        <v>40.773299999999999</v>
      </c>
    </row>
    <row r="69" spans="1:4" x14ac:dyDescent="0.2">
      <c r="A69" s="4">
        <v>166</v>
      </c>
      <c r="B69" s="4">
        <v>38.844099999999997</v>
      </c>
      <c r="C69" s="4">
        <v>0</v>
      </c>
      <c r="D69" s="4">
        <f t="shared" si="1"/>
        <v>38.844099999999997</v>
      </c>
    </row>
    <row r="70" spans="1:4" x14ac:dyDescent="0.2">
      <c r="A70" s="4">
        <v>167</v>
      </c>
      <c r="B70" s="4">
        <v>36.621699999999997</v>
      </c>
      <c r="C70" s="4">
        <v>0</v>
      </c>
      <c r="D70" s="4">
        <f t="shared" si="1"/>
        <v>36.621699999999997</v>
      </c>
    </row>
    <row r="71" spans="1:4" x14ac:dyDescent="0.2">
      <c r="A71" s="4">
        <v>168</v>
      </c>
      <c r="B71" s="4">
        <v>34.192500000000003</v>
      </c>
      <c r="C71" s="4">
        <v>0</v>
      </c>
      <c r="D71" s="4">
        <f t="shared" si="1"/>
        <v>34.192500000000003</v>
      </c>
    </row>
    <row r="72" spans="1:4" x14ac:dyDescent="0.2">
      <c r="A72" s="4">
        <v>169</v>
      </c>
      <c r="B72" s="4">
        <v>31.652100000000001</v>
      </c>
      <c r="C72" s="4">
        <v>0</v>
      </c>
      <c r="D72" s="4">
        <f t="shared" si="1"/>
        <v>31.652100000000001</v>
      </c>
    </row>
    <row r="73" spans="1:4" x14ac:dyDescent="0.2">
      <c r="A73" s="4">
        <v>170</v>
      </c>
      <c r="B73" s="4">
        <v>29.0991</v>
      </c>
      <c r="C73" s="4">
        <v>0</v>
      </c>
      <c r="D73" s="4">
        <f t="shared" si="1"/>
        <v>29.0991</v>
      </c>
    </row>
    <row r="74" spans="1:4" x14ac:dyDescent="0.2">
      <c r="A74" s="4">
        <v>171</v>
      </c>
      <c r="B74" s="4">
        <v>26.634499999999999</v>
      </c>
      <c r="C74" s="4">
        <v>0</v>
      </c>
      <c r="D74" s="4">
        <f t="shared" si="1"/>
        <v>26.634499999999999</v>
      </c>
    </row>
    <row r="75" spans="1:4" x14ac:dyDescent="0.2">
      <c r="A75" s="4">
        <v>172</v>
      </c>
      <c r="B75" s="4">
        <v>24.293600000000001</v>
      </c>
      <c r="C75" s="4">
        <v>0</v>
      </c>
      <c r="D75" s="4">
        <f t="shared" si="1"/>
        <v>24.293600000000001</v>
      </c>
    </row>
    <row r="76" spans="1:4" x14ac:dyDescent="0.2">
      <c r="A76" s="4">
        <v>173</v>
      </c>
      <c r="B76" s="4">
        <v>22.109000000000002</v>
      </c>
      <c r="C76" s="4">
        <v>0</v>
      </c>
      <c r="D76" s="4">
        <f t="shared" si="1"/>
        <v>22.109000000000002</v>
      </c>
    </row>
    <row r="77" spans="1:4" x14ac:dyDescent="0.2">
      <c r="A77" s="4">
        <v>174</v>
      </c>
      <c r="B77" s="4">
        <v>20.104500000000002</v>
      </c>
      <c r="C77" s="4">
        <v>0</v>
      </c>
      <c r="D77" s="4">
        <f t="shared" si="1"/>
        <v>20.104500000000002</v>
      </c>
    </row>
    <row r="78" spans="1:4" x14ac:dyDescent="0.2">
      <c r="A78" s="4">
        <v>175</v>
      </c>
      <c r="B78" s="4">
        <v>18.285599999999999</v>
      </c>
      <c r="C78" s="4">
        <v>0</v>
      </c>
      <c r="D78" s="4">
        <f t="shared" si="1"/>
        <v>18.285599999999999</v>
      </c>
    </row>
    <row r="79" spans="1:4" x14ac:dyDescent="0.2">
      <c r="A79" s="4">
        <v>176</v>
      </c>
      <c r="B79" s="4">
        <v>16.668199999999999</v>
      </c>
      <c r="C79" s="4">
        <v>0</v>
      </c>
      <c r="D79" s="4">
        <f t="shared" si="1"/>
        <v>16.668199999999999</v>
      </c>
    </row>
    <row r="80" spans="1:4" x14ac:dyDescent="0.2">
      <c r="A80" s="4">
        <v>177</v>
      </c>
      <c r="B80" s="4">
        <v>15.2201</v>
      </c>
      <c r="C80" s="4">
        <v>0</v>
      </c>
      <c r="D80" s="4">
        <f t="shared" si="1"/>
        <v>15.2201</v>
      </c>
    </row>
    <row r="81" spans="1:4" x14ac:dyDescent="0.2">
      <c r="A81" s="4">
        <v>178</v>
      </c>
      <c r="B81" s="4">
        <v>13.946099999999999</v>
      </c>
      <c r="C81" s="4">
        <v>0</v>
      </c>
      <c r="D81" s="4">
        <f t="shared" si="1"/>
        <v>13.946099999999999</v>
      </c>
    </row>
    <row r="82" spans="1:4" x14ac:dyDescent="0.2">
      <c r="A82" s="4">
        <v>179</v>
      </c>
      <c r="B82" s="4">
        <v>12.8124</v>
      </c>
      <c r="C82" s="4">
        <v>0</v>
      </c>
      <c r="D82" s="4">
        <f t="shared" si="1"/>
        <v>12.8124</v>
      </c>
    </row>
    <row r="83" spans="1:4" x14ac:dyDescent="0.2">
      <c r="A83" s="4">
        <v>180</v>
      </c>
      <c r="B83" s="4">
        <v>11.8018</v>
      </c>
      <c r="C83" s="4">
        <v>0</v>
      </c>
      <c r="D83" s="4">
        <f t="shared" si="1"/>
        <v>11.8018</v>
      </c>
    </row>
    <row r="84" spans="1:4" x14ac:dyDescent="0.2">
      <c r="A84" s="4">
        <v>181</v>
      </c>
      <c r="B84" s="4">
        <v>10.9047</v>
      </c>
      <c r="C84" s="4">
        <v>0</v>
      </c>
      <c r="D84" s="4">
        <f t="shared" si="1"/>
        <v>10.9047</v>
      </c>
    </row>
    <row r="85" spans="1:4" x14ac:dyDescent="0.2">
      <c r="A85" s="4">
        <v>182</v>
      </c>
      <c r="B85" s="4">
        <v>10.1021</v>
      </c>
      <c r="C85" s="4">
        <v>0</v>
      </c>
      <c r="D85" s="4">
        <f t="shared" si="1"/>
        <v>10.1021</v>
      </c>
    </row>
    <row r="86" spans="1:4" x14ac:dyDescent="0.2">
      <c r="A86" s="4">
        <v>183</v>
      </c>
      <c r="B86" s="4">
        <v>9.3816000000000006</v>
      </c>
      <c r="C86" s="4">
        <v>0</v>
      </c>
      <c r="D86" s="4">
        <f t="shared" si="1"/>
        <v>9.3816000000000006</v>
      </c>
    </row>
    <row r="87" spans="1:4" x14ac:dyDescent="0.2">
      <c r="A87" s="4">
        <v>184</v>
      </c>
      <c r="B87" s="4">
        <v>8.7344000000000008</v>
      </c>
      <c r="C87" s="4">
        <v>0</v>
      </c>
      <c r="D87" s="4">
        <f t="shared" si="1"/>
        <v>8.7344000000000008</v>
      </c>
    </row>
    <row r="88" spans="1:4" x14ac:dyDescent="0.2">
      <c r="A88" s="4">
        <v>185</v>
      </c>
      <c r="B88" s="4">
        <v>8.1521000000000008</v>
      </c>
      <c r="C88" s="4">
        <v>0</v>
      </c>
      <c r="D88" s="4">
        <f t="shared" si="1"/>
        <v>8.1521000000000008</v>
      </c>
    </row>
    <row r="89" spans="1:4" x14ac:dyDescent="0.2">
      <c r="A89" s="4">
        <v>186</v>
      </c>
      <c r="B89" s="4">
        <v>7.6241000000000003</v>
      </c>
      <c r="C89" s="4">
        <v>0</v>
      </c>
      <c r="D89" s="4">
        <f t="shared" si="1"/>
        <v>7.6241000000000003</v>
      </c>
    </row>
    <row r="90" spans="1:4" x14ac:dyDescent="0.2">
      <c r="A90" s="4">
        <v>187</v>
      </c>
      <c r="B90" s="4">
        <v>7.1421999999999999</v>
      </c>
      <c r="C90" s="4">
        <v>0</v>
      </c>
      <c r="D90" s="4">
        <f t="shared" si="1"/>
        <v>7.1421999999999999</v>
      </c>
    </row>
    <row r="91" spans="1:4" x14ac:dyDescent="0.2">
      <c r="A91" s="4">
        <v>188</v>
      </c>
      <c r="B91" s="4">
        <v>6.7000999999999999</v>
      </c>
      <c r="C91" s="4">
        <v>0</v>
      </c>
      <c r="D91" s="4">
        <f t="shared" si="1"/>
        <v>6.7000999999999999</v>
      </c>
    </row>
    <row r="92" spans="1:4" x14ac:dyDescent="0.2">
      <c r="A92" s="4">
        <v>189</v>
      </c>
      <c r="B92" s="4">
        <v>6.2923999999999998</v>
      </c>
      <c r="C92" s="4">
        <v>0</v>
      </c>
      <c r="D92" s="4">
        <f t="shared" si="1"/>
        <v>6.2923999999999998</v>
      </c>
    </row>
    <row r="93" spans="1:4" x14ac:dyDescent="0.2">
      <c r="A93" s="4">
        <v>190</v>
      </c>
      <c r="B93" s="4">
        <v>5.9145000000000003</v>
      </c>
      <c r="C93" s="4">
        <v>0</v>
      </c>
      <c r="D93" s="4">
        <f t="shared" si="1"/>
        <v>5.9145000000000003</v>
      </c>
    </row>
    <row r="94" spans="1:4" x14ac:dyDescent="0.2">
      <c r="A94" s="4">
        <v>191</v>
      </c>
      <c r="B94" s="4">
        <v>5.5617999999999999</v>
      </c>
      <c r="C94" s="4">
        <v>0</v>
      </c>
      <c r="D94" s="4">
        <f t="shared" si="1"/>
        <v>5.5617999999999999</v>
      </c>
    </row>
    <row r="95" spans="1:4" x14ac:dyDescent="0.2">
      <c r="A95" s="4">
        <v>192</v>
      </c>
      <c r="B95" s="4">
        <v>5.2309000000000001</v>
      </c>
      <c r="C95" s="4">
        <v>0</v>
      </c>
      <c r="D95" s="4">
        <f t="shared" si="1"/>
        <v>5.2309000000000001</v>
      </c>
    </row>
    <row r="96" spans="1:4" x14ac:dyDescent="0.2">
      <c r="A96" s="4">
        <v>193</v>
      </c>
      <c r="B96" s="4">
        <v>4.9195000000000002</v>
      </c>
      <c r="C96" s="4">
        <v>0</v>
      </c>
      <c r="D96" s="4">
        <f t="shared" si="1"/>
        <v>4.9195000000000002</v>
      </c>
    </row>
    <row r="97" spans="1:4" x14ac:dyDescent="0.2">
      <c r="A97" s="4">
        <v>194</v>
      </c>
      <c r="B97" s="4">
        <v>4.6254</v>
      </c>
      <c r="C97" s="4">
        <v>0</v>
      </c>
      <c r="D97" s="4">
        <f t="shared" si="1"/>
        <v>4.6254</v>
      </c>
    </row>
    <row r="98" spans="1:4" x14ac:dyDescent="0.2">
      <c r="A98" s="4">
        <v>195</v>
      </c>
      <c r="B98" s="4">
        <v>4.3467000000000002</v>
      </c>
      <c r="C98" s="4">
        <v>0</v>
      </c>
      <c r="D98" s="4">
        <f t="shared" si="1"/>
        <v>4.3467000000000002</v>
      </c>
    </row>
    <row r="99" spans="1:4" x14ac:dyDescent="0.2">
      <c r="A99" s="4">
        <v>196</v>
      </c>
      <c r="B99" s="4">
        <v>4.0788000000000002</v>
      </c>
      <c r="C99" s="4">
        <v>0</v>
      </c>
      <c r="D99" s="4">
        <f t="shared" si="1"/>
        <v>4.0788000000000002</v>
      </c>
    </row>
    <row r="100" spans="1:4" x14ac:dyDescent="0.2">
      <c r="A100" s="4">
        <v>197</v>
      </c>
      <c r="B100" s="4">
        <v>3.8237000000000001</v>
      </c>
      <c r="C100" s="4">
        <v>0</v>
      </c>
      <c r="D100" s="4">
        <f t="shared" si="1"/>
        <v>3.8237000000000001</v>
      </c>
    </row>
    <row r="101" spans="1:4" x14ac:dyDescent="0.2">
      <c r="A101" s="4">
        <v>198</v>
      </c>
      <c r="B101" s="4">
        <v>3.5806</v>
      </c>
      <c r="C101" s="4">
        <v>0</v>
      </c>
      <c r="D101" s="4">
        <f t="shared" si="1"/>
        <v>3.5806</v>
      </c>
    </row>
    <row r="102" spans="1:4" x14ac:dyDescent="0.2">
      <c r="A102" s="4">
        <v>199</v>
      </c>
      <c r="B102" s="4">
        <v>3.3494999999999999</v>
      </c>
      <c r="C102" s="4">
        <v>0</v>
      </c>
      <c r="D102" s="4">
        <f t="shared" si="1"/>
        <v>3.3494999999999999</v>
      </c>
    </row>
    <row r="103" spans="1:4" x14ac:dyDescent="0.2">
      <c r="A103" s="4">
        <v>200</v>
      </c>
      <c r="B103" s="4">
        <v>3.1295000000000002</v>
      </c>
      <c r="C103" s="4">
        <v>0</v>
      </c>
      <c r="D103" s="4">
        <f t="shared" si="1"/>
        <v>3.1295000000000002</v>
      </c>
    </row>
    <row r="104" spans="1:4" x14ac:dyDescent="0.2">
      <c r="A104" s="4">
        <v>201</v>
      </c>
      <c r="B104" s="4">
        <v>2.9367999999999999</v>
      </c>
      <c r="C104" s="4">
        <v>0</v>
      </c>
      <c r="D104" s="4">
        <f t="shared" si="1"/>
        <v>2.9367999999999999</v>
      </c>
    </row>
    <row r="105" spans="1:4" x14ac:dyDescent="0.2">
      <c r="A105" s="4">
        <v>202</v>
      </c>
      <c r="B105" s="4">
        <v>2.7528000000000001</v>
      </c>
      <c r="C105" s="4">
        <v>0</v>
      </c>
      <c r="D105" s="4">
        <f t="shared" si="1"/>
        <v>2.7528000000000001</v>
      </c>
    </row>
    <row r="106" spans="1:4" x14ac:dyDescent="0.2">
      <c r="A106" s="4">
        <v>203</v>
      </c>
      <c r="B106" s="4">
        <v>2.5771999999999999</v>
      </c>
      <c r="C106" s="4">
        <v>0</v>
      </c>
      <c r="D106" s="4">
        <f t="shared" si="1"/>
        <v>2.5771999999999999</v>
      </c>
    </row>
    <row r="107" spans="1:4" x14ac:dyDescent="0.2">
      <c r="A107" s="4">
        <v>204</v>
      </c>
      <c r="B107" s="4">
        <v>2.4100999999999999</v>
      </c>
      <c r="C107" s="4">
        <v>0</v>
      </c>
      <c r="D107" s="4">
        <f t="shared" si="1"/>
        <v>2.4100999999999999</v>
      </c>
    </row>
    <row r="108" spans="1:4" x14ac:dyDescent="0.2">
      <c r="A108" s="4">
        <v>205</v>
      </c>
      <c r="B108" s="4">
        <v>2.2511999999999999</v>
      </c>
      <c r="C108" s="4">
        <v>0</v>
      </c>
      <c r="D108" s="4">
        <f t="shared" si="1"/>
        <v>2.2511999999999999</v>
      </c>
    </row>
    <row r="109" spans="1:4" x14ac:dyDescent="0.2">
      <c r="A109" s="4">
        <v>206</v>
      </c>
      <c r="B109" s="4">
        <v>2.1015999999999999</v>
      </c>
      <c r="C109" s="4">
        <v>0</v>
      </c>
      <c r="D109" s="4">
        <f t="shared" si="1"/>
        <v>2.1015999999999999</v>
      </c>
    </row>
    <row r="110" spans="1:4" x14ac:dyDescent="0.2">
      <c r="A110" s="4">
        <v>207</v>
      </c>
      <c r="B110" s="4">
        <v>1.9602999999999999</v>
      </c>
      <c r="C110" s="4">
        <v>0</v>
      </c>
      <c r="D110" s="4">
        <f t="shared" si="1"/>
        <v>1.9602999999999999</v>
      </c>
    </row>
    <row r="111" spans="1:4" x14ac:dyDescent="0.2">
      <c r="A111" s="4">
        <v>208</v>
      </c>
      <c r="B111" s="4">
        <v>1.8273999999999999</v>
      </c>
      <c r="C111" s="4">
        <v>0</v>
      </c>
      <c r="D111" s="4">
        <f t="shared" si="1"/>
        <v>1.8273999999999999</v>
      </c>
    </row>
    <row r="112" spans="1:4" x14ac:dyDescent="0.2">
      <c r="A112" s="4">
        <v>209</v>
      </c>
      <c r="B112" s="4">
        <v>1.6998</v>
      </c>
      <c r="C112" s="4">
        <v>0</v>
      </c>
      <c r="D112" s="4">
        <f t="shared" si="1"/>
        <v>1.6998</v>
      </c>
    </row>
    <row r="113" spans="1:4" x14ac:dyDescent="0.2">
      <c r="A113" s="4">
        <v>210</v>
      </c>
      <c r="B113" s="4">
        <v>1.5819000000000001</v>
      </c>
      <c r="C113" s="4">
        <v>0</v>
      </c>
      <c r="D113" s="4">
        <f t="shared" si="1"/>
        <v>1.5819000000000001</v>
      </c>
    </row>
    <row r="114" spans="1:4" x14ac:dyDescent="0.2">
      <c r="A114" s="4">
        <v>211</v>
      </c>
      <c r="B114" s="4">
        <v>1.4688000000000001</v>
      </c>
      <c r="C114" s="4">
        <v>0</v>
      </c>
      <c r="D114" s="4">
        <f t="shared" si="1"/>
        <v>1.4688000000000001</v>
      </c>
    </row>
    <row r="115" spans="1:4" x14ac:dyDescent="0.2">
      <c r="A115" s="4">
        <v>212</v>
      </c>
      <c r="B115" s="4">
        <v>1.3638999999999999</v>
      </c>
      <c r="C115" s="4">
        <v>0</v>
      </c>
      <c r="D115" s="4">
        <f t="shared" si="1"/>
        <v>1.3638999999999999</v>
      </c>
    </row>
    <row r="116" spans="1:4" x14ac:dyDescent="0.2">
      <c r="A116" s="4">
        <v>213</v>
      </c>
      <c r="B116" s="4">
        <v>1.2648999999999999</v>
      </c>
      <c r="C116" s="4">
        <v>0</v>
      </c>
      <c r="D116" s="4">
        <f t="shared" si="1"/>
        <v>1.2648999999999999</v>
      </c>
    </row>
    <row r="117" spans="1:4" x14ac:dyDescent="0.2">
      <c r="A117" s="4">
        <v>214</v>
      </c>
      <c r="B117" s="4">
        <v>1.1731</v>
      </c>
      <c r="C117" s="4">
        <v>0</v>
      </c>
      <c r="D117" s="4">
        <f t="shared" si="1"/>
        <v>1.1731</v>
      </c>
    </row>
    <row r="118" spans="1:4" x14ac:dyDescent="0.2">
      <c r="A118" s="4">
        <v>215</v>
      </c>
      <c r="B118" s="4">
        <v>1.0882000000000001</v>
      </c>
      <c r="C118" s="4">
        <v>0</v>
      </c>
      <c r="D118" s="4">
        <f t="shared" si="1"/>
        <v>1.0882000000000001</v>
      </c>
    </row>
    <row r="119" spans="1:4" x14ac:dyDescent="0.2">
      <c r="A119" s="4">
        <v>216</v>
      </c>
      <c r="B119" s="4">
        <v>1.0109999999999999</v>
      </c>
      <c r="C119" s="4">
        <v>0</v>
      </c>
      <c r="D119" s="4">
        <f t="shared" si="1"/>
        <v>1.0109999999999999</v>
      </c>
    </row>
    <row r="120" spans="1:4" x14ac:dyDescent="0.2">
      <c r="A120" s="4">
        <v>217</v>
      </c>
      <c r="B120" s="4">
        <v>0.9375</v>
      </c>
      <c r="C120" s="4">
        <v>0</v>
      </c>
      <c r="D120" s="4">
        <f t="shared" si="1"/>
        <v>0.9375</v>
      </c>
    </row>
    <row r="121" spans="1:4" x14ac:dyDescent="0.2">
      <c r="A121" s="4">
        <v>218</v>
      </c>
      <c r="B121" s="4">
        <v>0.86909999999999998</v>
      </c>
      <c r="C121" s="4">
        <v>0</v>
      </c>
      <c r="D121" s="4">
        <f t="shared" si="1"/>
        <v>0.86909999999999998</v>
      </c>
    </row>
    <row r="122" spans="1:4" x14ac:dyDescent="0.2">
      <c r="A122" s="4">
        <v>219</v>
      </c>
      <c r="B122" s="4">
        <v>0.80700000000000005</v>
      </c>
      <c r="C122" s="4">
        <v>0</v>
      </c>
      <c r="D122" s="4">
        <f t="shared" si="1"/>
        <v>0.80700000000000005</v>
      </c>
    </row>
    <row r="123" spans="1:4" x14ac:dyDescent="0.2">
      <c r="A123" s="4">
        <v>220</v>
      </c>
      <c r="B123" s="4">
        <v>0.75</v>
      </c>
      <c r="C123" s="4">
        <v>0</v>
      </c>
      <c r="D123" s="4">
        <f t="shared" si="1"/>
        <v>0.75</v>
      </c>
    </row>
    <row r="124" spans="1:4" x14ac:dyDescent="0.2">
      <c r="A124" s="4">
        <v>221</v>
      </c>
      <c r="B124" s="4">
        <v>0.69720000000000004</v>
      </c>
      <c r="C124" s="4">
        <v>0</v>
      </c>
      <c r="D124" s="4">
        <f t="shared" si="1"/>
        <v>0.69720000000000004</v>
      </c>
    </row>
    <row r="125" spans="1:4" x14ac:dyDescent="0.2">
      <c r="A125" s="4">
        <v>222</v>
      </c>
      <c r="B125" s="4">
        <v>0.64959999999999996</v>
      </c>
      <c r="C125" s="4">
        <v>0</v>
      </c>
      <c r="D125" s="4">
        <f t="shared" si="1"/>
        <v>0.64959999999999996</v>
      </c>
    </row>
    <row r="126" spans="1:4" x14ac:dyDescent="0.2">
      <c r="A126" s="4">
        <v>223</v>
      </c>
      <c r="B126" s="4">
        <v>0.60540000000000005</v>
      </c>
      <c r="C126" s="4">
        <v>0</v>
      </c>
      <c r="D126" s="4">
        <f t="shared" si="1"/>
        <v>0.60540000000000005</v>
      </c>
    </row>
    <row r="127" spans="1:4" x14ac:dyDescent="0.2">
      <c r="A127" s="4">
        <v>224</v>
      </c>
      <c r="B127" s="4">
        <v>0.56559999999999999</v>
      </c>
      <c r="C127" s="4">
        <v>0</v>
      </c>
      <c r="D127" s="4">
        <f t="shared" si="1"/>
        <v>0.56559999999999999</v>
      </c>
    </row>
    <row r="128" spans="1:4" x14ac:dyDescent="0.2">
      <c r="A128" s="4">
        <v>225</v>
      </c>
      <c r="B128" s="4">
        <v>0.52900000000000003</v>
      </c>
      <c r="C128" s="4">
        <v>0</v>
      </c>
      <c r="D128" s="4">
        <f t="shared" si="1"/>
        <v>0.52900000000000003</v>
      </c>
    </row>
    <row r="129" spans="1:4" x14ac:dyDescent="0.2">
      <c r="A129" s="4">
        <v>226</v>
      </c>
      <c r="B129" s="4">
        <v>0.49509999999999998</v>
      </c>
      <c r="C129" s="4">
        <v>0</v>
      </c>
      <c r="D129" s="4">
        <f t="shared" si="1"/>
        <v>0.49509999999999998</v>
      </c>
    </row>
    <row r="130" spans="1:4" x14ac:dyDescent="0.2">
      <c r="A130" s="4">
        <v>227</v>
      </c>
      <c r="B130" s="4">
        <v>0.46489999999999998</v>
      </c>
      <c r="C130" s="4">
        <v>0</v>
      </c>
      <c r="D130" s="4">
        <f t="shared" si="1"/>
        <v>0.46489999999999998</v>
      </c>
    </row>
    <row r="131" spans="1:4" x14ac:dyDescent="0.2">
      <c r="A131" s="4">
        <v>228</v>
      </c>
      <c r="B131" s="4">
        <v>0.43830000000000002</v>
      </c>
      <c r="C131" s="4">
        <v>0</v>
      </c>
      <c r="D131" s="4">
        <f t="shared" ref="D131:D194" si="2">B131-C131</f>
        <v>0.43830000000000002</v>
      </c>
    </row>
    <row r="132" spans="1:4" x14ac:dyDescent="0.2">
      <c r="A132" s="4">
        <v>229</v>
      </c>
      <c r="B132" s="4">
        <v>0.41560000000000002</v>
      </c>
      <c r="C132" s="4">
        <v>0</v>
      </c>
      <c r="D132" s="4">
        <f t="shared" si="2"/>
        <v>0.41560000000000002</v>
      </c>
    </row>
    <row r="133" spans="1:4" x14ac:dyDescent="0.2">
      <c r="A133" s="4">
        <v>230</v>
      </c>
      <c r="B133" s="4">
        <v>0.39500000000000002</v>
      </c>
      <c r="C133" s="4">
        <v>0</v>
      </c>
      <c r="D133" s="4">
        <f t="shared" si="2"/>
        <v>0.39500000000000002</v>
      </c>
    </row>
    <row r="134" spans="1:4" x14ac:dyDescent="0.2">
      <c r="A134" s="4">
        <v>231</v>
      </c>
      <c r="B134" s="4">
        <v>0.37630000000000002</v>
      </c>
      <c r="C134" s="4">
        <v>0</v>
      </c>
      <c r="D134" s="4">
        <f t="shared" si="2"/>
        <v>0.37630000000000002</v>
      </c>
    </row>
    <row r="135" spans="1:4" x14ac:dyDescent="0.2">
      <c r="A135" s="4">
        <v>232</v>
      </c>
      <c r="B135" s="4">
        <v>0.3584</v>
      </c>
      <c r="C135" s="4">
        <v>0</v>
      </c>
      <c r="D135" s="4">
        <f t="shared" si="2"/>
        <v>0.3584</v>
      </c>
    </row>
    <row r="136" spans="1:4" x14ac:dyDescent="0.2">
      <c r="A136" s="4">
        <v>233</v>
      </c>
      <c r="B136" s="4">
        <v>0.34129999999999999</v>
      </c>
      <c r="C136" s="4">
        <v>0</v>
      </c>
      <c r="D136" s="4">
        <f t="shared" si="2"/>
        <v>0.34129999999999999</v>
      </c>
    </row>
    <row r="137" spans="1:4" x14ac:dyDescent="0.2">
      <c r="A137" s="4">
        <v>234</v>
      </c>
      <c r="B137" s="4">
        <v>0.32450000000000001</v>
      </c>
      <c r="C137" s="4">
        <v>0</v>
      </c>
      <c r="D137" s="4">
        <f t="shared" si="2"/>
        <v>0.32450000000000001</v>
      </c>
    </row>
    <row r="138" spans="1:4" x14ac:dyDescent="0.2">
      <c r="A138" s="4">
        <v>235</v>
      </c>
      <c r="B138" s="4">
        <v>0.30780000000000002</v>
      </c>
      <c r="C138" s="4">
        <v>0</v>
      </c>
      <c r="D138" s="4">
        <f t="shared" si="2"/>
        <v>0.30780000000000002</v>
      </c>
    </row>
    <row r="139" spans="1:4" x14ac:dyDescent="0.2">
      <c r="A139" s="4">
        <v>236</v>
      </c>
      <c r="B139" s="4">
        <v>0.2913</v>
      </c>
      <c r="C139" s="4">
        <v>0</v>
      </c>
      <c r="D139" s="4">
        <f t="shared" si="2"/>
        <v>0.2913</v>
      </c>
    </row>
    <row r="140" spans="1:4" x14ac:dyDescent="0.2">
      <c r="A140" s="4">
        <v>237</v>
      </c>
      <c r="B140" s="4">
        <v>0.27510000000000001</v>
      </c>
      <c r="C140" s="4">
        <v>0</v>
      </c>
      <c r="D140" s="4">
        <f t="shared" si="2"/>
        <v>0.27510000000000001</v>
      </c>
    </row>
    <row r="141" spans="1:4" x14ac:dyDescent="0.2">
      <c r="A141" s="4">
        <v>238</v>
      </c>
      <c r="B141" s="4">
        <v>0.25919999999999999</v>
      </c>
      <c r="C141" s="4">
        <v>0</v>
      </c>
      <c r="D141" s="4">
        <f t="shared" si="2"/>
        <v>0.25919999999999999</v>
      </c>
    </row>
    <row r="142" spans="1:4" x14ac:dyDescent="0.2">
      <c r="A142" s="4">
        <v>239</v>
      </c>
      <c r="B142" s="4">
        <v>0.2437</v>
      </c>
      <c r="C142" s="4">
        <v>0</v>
      </c>
      <c r="D142" s="4">
        <f t="shared" si="2"/>
        <v>0.2437</v>
      </c>
    </row>
    <row r="143" spans="1:4" x14ac:dyDescent="0.2">
      <c r="A143" s="4">
        <v>240</v>
      </c>
      <c r="B143" s="4">
        <v>0.22889999999999999</v>
      </c>
      <c r="C143" s="4">
        <v>0</v>
      </c>
      <c r="D143" s="4">
        <f t="shared" si="2"/>
        <v>0.22889999999999999</v>
      </c>
    </row>
    <row r="144" spans="1:4" x14ac:dyDescent="0.2">
      <c r="A144" s="4">
        <v>241</v>
      </c>
      <c r="B144" s="4">
        <v>0.21490000000000001</v>
      </c>
      <c r="C144" s="4">
        <v>0</v>
      </c>
      <c r="D144" s="4">
        <f t="shared" si="2"/>
        <v>0.21490000000000001</v>
      </c>
    </row>
    <row r="145" spans="1:4" x14ac:dyDescent="0.2">
      <c r="A145" s="4">
        <v>242</v>
      </c>
      <c r="B145" s="4">
        <v>0.20150000000000001</v>
      </c>
      <c r="C145" s="4">
        <v>0</v>
      </c>
      <c r="D145" s="4">
        <f t="shared" si="2"/>
        <v>0.20150000000000001</v>
      </c>
    </row>
    <row r="146" spans="1:4" x14ac:dyDescent="0.2">
      <c r="A146" s="4">
        <v>243</v>
      </c>
      <c r="B146" s="4">
        <v>0.18870000000000001</v>
      </c>
      <c r="C146" s="4">
        <v>0</v>
      </c>
      <c r="D146" s="4">
        <f t="shared" si="2"/>
        <v>0.18870000000000001</v>
      </c>
    </row>
    <row r="147" spans="1:4" x14ac:dyDescent="0.2">
      <c r="A147" s="4">
        <v>244</v>
      </c>
      <c r="B147" s="4">
        <v>0.17710000000000001</v>
      </c>
      <c r="C147" s="4">
        <v>0</v>
      </c>
      <c r="D147" s="4">
        <f t="shared" si="2"/>
        <v>0.17710000000000001</v>
      </c>
    </row>
    <row r="148" spans="1:4" x14ac:dyDescent="0.2">
      <c r="A148" s="4">
        <v>245</v>
      </c>
      <c r="B148" s="4">
        <v>0.1658</v>
      </c>
      <c r="C148" s="4">
        <v>0</v>
      </c>
      <c r="D148" s="4">
        <f t="shared" si="2"/>
        <v>0.1658</v>
      </c>
    </row>
    <row r="149" spans="1:4" x14ac:dyDescent="0.2">
      <c r="A149" s="4">
        <v>246</v>
      </c>
      <c r="B149" s="4">
        <v>0.1555</v>
      </c>
      <c r="C149" s="4">
        <v>0</v>
      </c>
      <c r="D149" s="4">
        <f t="shared" si="2"/>
        <v>0.1555</v>
      </c>
    </row>
    <row r="150" spans="1:4" x14ac:dyDescent="0.2">
      <c r="A150" s="162">
        <v>247</v>
      </c>
      <c r="B150" s="162">
        <v>0.14580000000000001</v>
      </c>
      <c r="C150" s="162">
        <v>0</v>
      </c>
      <c r="D150" s="162">
        <f t="shared" si="2"/>
        <v>0.14580000000000001</v>
      </c>
    </row>
    <row r="151" spans="1:4" x14ac:dyDescent="0.2">
      <c r="A151" s="4">
        <v>248</v>
      </c>
      <c r="B151" s="4">
        <v>0.13669999999999999</v>
      </c>
      <c r="C151" s="4">
        <v>0</v>
      </c>
      <c r="D151" s="4">
        <f t="shared" si="2"/>
        <v>0.13669999999999999</v>
      </c>
    </row>
    <row r="152" spans="1:4" x14ac:dyDescent="0.2">
      <c r="A152" s="4">
        <v>249</v>
      </c>
      <c r="B152" s="4">
        <v>0.1283</v>
      </c>
      <c r="C152" s="4">
        <v>0</v>
      </c>
      <c r="D152" s="4">
        <f t="shared" si="2"/>
        <v>0.1283</v>
      </c>
    </row>
    <row r="153" spans="1:4" x14ac:dyDescent="0.2">
      <c r="A153" s="4">
        <v>250</v>
      </c>
      <c r="B153" s="4">
        <v>0.1205</v>
      </c>
      <c r="C153" s="4">
        <v>0</v>
      </c>
      <c r="D153" s="4">
        <f t="shared" si="2"/>
        <v>0.1205</v>
      </c>
    </row>
    <row r="154" spans="1:4" x14ac:dyDescent="0.2">
      <c r="A154" s="4">
        <v>251</v>
      </c>
      <c r="B154" s="4">
        <v>0.1129</v>
      </c>
      <c r="C154" s="4">
        <v>0</v>
      </c>
      <c r="D154" s="4">
        <f t="shared" si="2"/>
        <v>0.1129</v>
      </c>
    </row>
    <row r="155" spans="1:4" x14ac:dyDescent="0.2">
      <c r="A155" s="4">
        <v>252</v>
      </c>
      <c r="B155" s="4">
        <v>0.106</v>
      </c>
      <c r="C155" s="4">
        <v>0</v>
      </c>
      <c r="D155" s="4">
        <f t="shared" si="2"/>
        <v>0.106</v>
      </c>
    </row>
    <row r="156" spans="1:4" x14ac:dyDescent="0.2">
      <c r="A156" s="4">
        <v>253</v>
      </c>
      <c r="B156" s="4">
        <v>9.9500000000000005E-2</v>
      </c>
      <c r="C156" s="4">
        <v>0</v>
      </c>
      <c r="D156" s="4">
        <f t="shared" si="2"/>
        <v>9.9500000000000005E-2</v>
      </c>
    </row>
    <row r="157" spans="1:4" x14ac:dyDescent="0.2">
      <c r="A157" s="4">
        <v>254</v>
      </c>
      <c r="B157" s="4">
        <v>9.3799999999999994E-2</v>
      </c>
      <c r="C157" s="4">
        <v>0</v>
      </c>
      <c r="D157" s="4">
        <f t="shared" si="2"/>
        <v>9.3799999999999994E-2</v>
      </c>
    </row>
    <row r="158" spans="1:4" x14ac:dyDescent="0.2">
      <c r="A158" s="4">
        <v>255</v>
      </c>
      <c r="B158" s="4">
        <v>8.8099999999999998E-2</v>
      </c>
      <c r="C158" s="4">
        <v>0</v>
      </c>
      <c r="D158" s="4">
        <f t="shared" si="2"/>
        <v>8.8099999999999998E-2</v>
      </c>
    </row>
    <row r="159" spans="1:4" x14ac:dyDescent="0.2">
      <c r="A159" s="4">
        <v>256</v>
      </c>
      <c r="B159" s="4">
        <v>8.3000000000000004E-2</v>
      </c>
      <c r="C159" s="4">
        <v>0</v>
      </c>
      <c r="D159" s="4">
        <f t="shared" si="2"/>
        <v>8.3000000000000004E-2</v>
      </c>
    </row>
    <row r="160" spans="1:4" x14ac:dyDescent="0.2">
      <c r="A160" s="4">
        <v>257</v>
      </c>
      <c r="B160" s="4">
        <v>7.8100000000000003E-2</v>
      </c>
      <c r="C160" s="4">
        <v>0</v>
      </c>
      <c r="D160" s="4">
        <f t="shared" si="2"/>
        <v>7.8100000000000003E-2</v>
      </c>
    </row>
    <row r="161" spans="1:4" x14ac:dyDescent="0.2">
      <c r="A161" s="4">
        <v>258</v>
      </c>
      <c r="B161" s="4">
        <v>7.3599999999999999E-2</v>
      </c>
      <c r="C161" s="4">
        <v>0</v>
      </c>
      <c r="D161" s="4">
        <f t="shared" si="2"/>
        <v>7.3599999999999999E-2</v>
      </c>
    </row>
    <row r="162" spans="1:4" x14ac:dyDescent="0.2">
      <c r="A162" s="4">
        <v>259</v>
      </c>
      <c r="B162" s="4">
        <v>6.9400000000000003E-2</v>
      </c>
      <c r="C162" s="4">
        <v>0</v>
      </c>
      <c r="D162" s="4">
        <f t="shared" si="2"/>
        <v>6.9400000000000003E-2</v>
      </c>
    </row>
    <row r="163" spans="1:4" x14ac:dyDescent="0.2">
      <c r="A163" s="4">
        <v>260</v>
      </c>
      <c r="B163" s="4">
        <v>6.5500000000000003E-2</v>
      </c>
      <c r="C163" s="4">
        <v>0</v>
      </c>
      <c r="D163" s="4">
        <f t="shared" si="2"/>
        <v>6.5500000000000003E-2</v>
      </c>
    </row>
    <row r="164" spans="1:4" x14ac:dyDescent="0.2">
      <c r="A164" s="4">
        <v>261</v>
      </c>
      <c r="B164" s="4">
        <v>6.1899999999999997E-2</v>
      </c>
      <c r="C164" s="4">
        <v>0</v>
      </c>
      <c r="D164" s="4">
        <f t="shared" si="2"/>
        <v>6.1899999999999997E-2</v>
      </c>
    </row>
    <row r="165" spans="1:4" x14ac:dyDescent="0.2">
      <c r="A165" s="4">
        <v>262</v>
      </c>
      <c r="B165" s="4">
        <v>5.8500000000000003E-2</v>
      </c>
      <c r="C165" s="4">
        <v>0</v>
      </c>
      <c r="D165" s="4">
        <f t="shared" si="2"/>
        <v>5.8500000000000003E-2</v>
      </c>
    </row>
    <row r="166" spans="1:4" x14ac:dyDescent="0.2">
      <c r="A166" s="4">
        <v>263</v>
      </c>
      <c r="B166" s="4">
        <v>5.5300000000000002E-2</v>
      </c>
      <c r="C166" s="4">
        <v>0</v>
      </c>
      <c r="D166" s="4">
        <f t="shared" si="2"/>
        <v>5.5300000000000002E-2</v>
      </c>
    </row>
    <row r="167" spans="1:4" x14ac:dyDescent="0.2">
      <c r="A167" s="4">
        <v>264</v>
      </c>
      <c r="B167" s="4">
        <v>5.2299999999999999E-2</v>
      </c>
      <c r="C167" s="4">
        <v>0</v>
      </c>
      <c r="D167" s="4">
        <f t="shared" si="2"/>
        <v>5.2299999999999999E-2</v>
      </c>
    </row>
    <row r="168" spans="1:4" x14ac:dyDescent="0.2">
      <c r="A168" s="4">
        <v>265</v>
      </c>
      <c r="B168" s="4">
        <v>4.9500000000000002E-2</v>
      </c>
      <c r="C168" s="4">
        <v>0</v>
      </c>
      <c r="D168" s="4">
        <f t="shared" si="2"/>
        <v>4.9500000000000002E-2</v>
      </c>
    </row>
    <row r="169" spans="1:4" x14ac:dyDescent="0.2">
      <c r="A169" s="4">
        <v>266</v>
      </c>
      <c r="B169" s="4">
        <v>4.6899999999999997E-2</v>
      </c>
      <c r="C169" s="4">
        <v>0</v>
      </c>
      <c r="D169" s="4">
        <f t="shared" si="2"/>
        <v>4.6899999999999997E-2</v>
      </c>
    </row>
    <row r="170" spans="1:4" x14ac:dyDescent="0.2">
      <c r="A170" s="4">
        <v>267</v>
      </c>
      <c r="B170" s="4">
        <v>4.4499999999999998E-2</v>
      </c>
      <c r="C170" s="4">
        <v>0</v>
      </c>
      <c r="D170" s="4">
        <f t="shared" si="2"/>
        <v>4.4499999999999998E-2</v>
      </c>
    </row>
    <row r="171" spans="1:4" x14ac:dyDescent="0.2">
      <c r="A171" s="4">
        <v>268</v>
      </c>
      <c r="B171" s="4">
        <v>4.24E-2</v>
      </c>
      <c r="C171" s="4">
        <v>0</v>
      </c>
      <c r="D171" s="4">
        <f t="shared" si="2"/>
        <v>4.24E-2</v>
      </c>
    </row>
    <row r="172" spans="1:4" x14ac:dyDescent="0.2">
      <c r="A172" s="4">
        <v>269</v>
      </c>
      <c r="B172" s="4">
        <v>4.0399999999999998E-2</v>
      </c>
      <c r="C172" s="4">
        <v>0</v>
      </c>
      <c r="D172" s="4">
        <f t="shared" si="2"/>
        <v>4.0399999999999998E-2</v>
      </c>
    </row>
    <row r="173" spans="1:4" x14ac:dyDescent="0.2">
      <c r="A173" s="4">
        <v>270</v>
      </c>
      <c r="B173" s="4">
        <v>3.8600000000000002E-2</v>
      </c>
      <c r="C173" s="4">
        <v>0</v>
      </c>
      <c r="D173" s="4">
        <f t="shared" si="2"/>
        <v>3.8600000000000002E-2</v>
      </c>
    </row>
    <row r="174" spans="1:4" x14ac:dyDescent="0.2">
      <c r="A174" s="4">
        <v>271</v>
      </c>
      <c r="B174" s="4">
        <v>3.6999999999999998E-2</v>
      </c>
      <c r="C174" s="4">
        <v>0</v>
      </c>
      <c r="D174" s="4">
        <f t="shared" si="2"/>
        <v>3.6999999999999998E-2</v>
      </c>
    </row>
    <row r="175" spans="1:4" x14ac:dyDescent="0.2">
      <c r="A175" s="4">
        <v>272</v>
      </c>
      <c r="B175" s="4">
        <v>3.56E-2</v>
      </c>
      <c r="C175" s="4">
        <v>0</v>
      </c>
      <c r="D175" s="4">
        <f t="shared" si="2"/>
        <v>3.56E-2</v>
      </c>
    </row>
    <row r="176" spans="1:4" x14ac:dyDescent="0.2">
      <c r="A176" s="4">
        <v>273</v>
      </c>
      <c r="B176" s="4">
        <v>3.4299999999999997E-2</v>
      </c>
      <c r="C176" s="4">
        <v>0</v>
      </c>
      <c r="D176" s="4">
        <f t="shared" si="2"/>
        <v>3.4299999999999997E-2</v>
      </c>
    </row>
    <row r="177" spans="1:4" x14ac:dyDescent="0.2">
      <c r="A177" s="4">
        <v>274</v>
      </c>
      <c r="B177" s="4">
        <v>3.32E-2</v>
      </c>
      <c r="C177" s="4">
        <v>0</v>
      </c>
      <c r="D177" s="4">
        <f t="shared" si="2"/>
        <v>3.32E-2</v>
      </c>
    </row>
    <row r="178" spans="1:4" x14ac:dyDescent="0.2">
      <c r="A178" s="4">
        <v>275</v>
      </c>
      <c r="B178" s="4">
        <v>3.2199999999999999E-2</v>
      </c>
      <c r="C178" s="4">
        <v>0</v>
      </c>
      <c r="D178" s="4">
        <f t="shared" si="2"/>
        <v>3.2199999999999999E-2</v>
      </c>
    </row>
    <row r="179" spans="1:4" x14ac:dyDescent="0.2">
      <c r="A179" s="4">
        <v>276</v>
      </c>
      <c r="B179" s="4">
        <v>3.1300000000000001E-2</v>
      </c>
      <c r="C179" s="4">
        <v>0</v>
      </c>
      <c r="D179" s="4">
        <f t="shared" si="2"/>
        <v>3.1300000000000001E-2</v>
      </c>
    </row>
    <row r="180" spans="1:4" x14ac:dyDescent="0.2">
      <c r="A180" s="4">
        <v>277</v>
      </c>
      <c r="B180" s="4">
        <v>3.0499999999999999E-2</v>
      </c>
      <c r="C180" s="4">
        <v>0</v>
      </c>
      <c r="D180" s="4">
        <f t="shared" si="2"/>
        <v>3.0499999999999999E-2</v>
      </c>
    </row>
    <row r="181" spans="1:4" x14ac:dyDescent="0.2">
      <c r="A181" s="4">
        <v>278</v>
      </c>
      <c r="B181" s="4">
        <v>2.9700000000000001E-2</v>
      </c>
      <c r="C181" s="4">
        <v>0</v>
      </c>
      <c r="D181" s="4">
        <f t="shared" si="2"/>
        <v>2.9700000000000001E-2</v>
      </c>
    </row>
    <row r="182" spans="1:4" x14ac:dyDescent="0.2">
      <c r="A182" s="4">
        <v>279</v>
      </c>
      <c r="B182" s="4">
        <v>2.9000000000000001E-2</v>
      </c>
      <c r="C182" s="4">
        <v>0</v>
      </c>
      <c r="D182" s="4">
        <f t="shared" si="2"/>
        <v>2.9000000000000001E-2</v>
      </c>
    </row>
    <row r="183" spans="1:4" x14ac:dyDescent="0.2">
      <c r="A183" s="4">
        <v>280</v>
      </c>
      <c r="B183" s="4">
        <v>2.8400000000000002E-2</v>
      </c>
      <c r="C183" s="4">
        <v>0</v>
      </c>
      <c r="D183" s="4">
        <f t="shared" si="2"/>
        <v>2.8400000000000002E-2</v>
      </c>
    </row>
    <row r="184" spans="1:4" x14ac:dyDescent="0.2">
      <c r="A184" s="4">
        <v>281</v>
      </c>
      <c r="B184" s="4">
        <v>2.7699999999999999E-2</v>
      </c>
      <c r="C184" s="4">
        <v>0</v>
      </c>
      <c r="D184" s="4">
        <f t="shared" si="2"/>
        <v>2.7699999999999999E-2</v>
      </c>
    </row>
    <row r="185" spans="1:4" x14ac:dyDescent="0.2">
      <c r="A185" s="4">
        <v>282</v>
      </c>
      <c r="B185" s="4">
        <v>2.7099999999999999E-2</v>
      </c>
      <c r="C185" s="4">
        <v>0</v>
      </c>
      <c r="D185" s="4">
        <f t="shared" si="2"/>
        <v>2.7099999999999999E-2</v>
      </c>
    </row>
    <row r="186" spans="1:4" x14ac:dyDescent="0.2">
      <c r="A186" s="4">
        <v>283</v>
      </c>
      <c r="B186" s="4">
        <v>2.6499999999999999E-2</v>
      </c>
      <c r="C186" s="4">
        <v>0</v>
      </c>
      <c r="D186" s="4">
        <f t="shared" si="2"/>
        <v>2.6499999999999999E-2</v>
      </c>
    </row>
    <row r="187" spans="1:4" x14ac:dyDescent="0.2">
      <c r="A187" s="4">
        <v>284</v>
      </c>
      <c r="B187" s="4">
        <v>2.5999999999999999E-2</v>
      </c>
      <c r="C187" s="4">
        <v>0</v>
      </c>
      <c r="D187" s="4">
        <f t="shared" si="2"/>
        <v>2.5999999999999999E-2</v>
      </c>
    </row>
    <row r="188" spans="1:4" x14ac:dyDescent="0.2">
      <c r="A188" s="4">
        <v>285</v>
      </c>
      <c r="B188" s="4">
        <v>2.5499999999999998E-2</v>
      </c>
      <c r="C188" s="4">
        <v>0</v>
      </c>
      <c r="D188" s="4">
        <f t="shared" si="2"/>
        <v>2.5499999999999998E-2</v>
      </c>
    </row>
    <row r="189" spans="1:4" x14ac:dyDescent="0.2">
      <c r="A189" s="4">
        <v>286</v>
      </c>
      <c r="B189" s="4">
        <v>2.5100000000000001E-2</v>
      </c>
      <c r="C189" s="4">
        <v>0</v>
      </c>
      <c r="D189" s="4">
        <f t="shared" si="2"/>
        <v>2.5100000000000001E-2</v>
      </c>
    </row>
    <row r="190" spans="1:4" x14ac:dyDescent="0.2">
      <c r="A190" s="4">
        <v>287</v>
      </c>
      <c r="B190" s="4">
        <v>2.47E-2</v>
      </c>
      <c r="C190" s="4">
        <v>0</v>
      </c>
      <c r="D190" s="4">
        <f t="shared" si="2"/>
        <v>2.47E-2</v>
      </c>
    </row>
    <row r="191" spans="1:4" x14ac:dyDescent="0.2">
      <c r="A191" s="4">
        <v>288</v>
      </c>
      <c r="B191" s="4">
        <v>2.4500000000000001E-2</v>
      </c>
      <c r="C191" s="4">
        <v>0</v>
      </c>
      <c r="D191" s="4">
        <f t="shared" si="2"/>
        <v>2.4500000000000001E-2</v>
      </c>
    </row>
    <row r="192" spans="1:4" x14ac:dyDescent="0.2">
      <c r="A192" s="4">
        <v>289</v>
      </c>
      <c r="B192" s="4">
        <v>2.4400000000000002E-2</v>
      </c>
      <c r="C192" s="4">
        <v>0</v>
      </c>
      <c r="D192" s="4">
        <f t="shared" si="2"/>
        <v>2.4400000000000002E-2</v>
      </c>
    </row>
    <row r="193" spans="1:4" x14ac:dyDescent="0.2">
      <c r="A193" s="4">
        <v>290</v>
      </c>
      <c r="B193" s="4">
        <v>2.4400000000000002E-2</v>
      </c>
      <c r="C193" s="4">
        <v>0</v>
      </c>
      <c r="D193" s="4">
        <f t="shared" si="2"/>
        <v>2.4400000000000002E-2</v>
      </c>
    </row>
    <row r="194" spans="1:4" x14ac:dyDescent="0.2">
      <c r="A194" s="4">
        <v>291</v>
      </c>
      <c r="B194" s="4">
        <v>2.4400000000000002E-2</v>
      </c>
      <c r="C194" s="4">
        <v>0</v>
      </c>
      <c r="D194" s="4">
        <f t="shared" si="2"/>
        <v>2.4400000000000002E-2</v>
      </c>
    </row>
    <row r="195" spans="1:4" x14ac:dyDescent="0.2">
      <c r="A195" s="4">
        <v>292</v>
      </c>
      <c r="B195" s="4">
        <v>2.4400000000000002E-2</v>
      </c>
      <c r="C195" s="4">
        <v>0</v>
      </c>
      <c r="D195" s="4">
        <f t="shared" ref="D195:D258" si="3">B195-C195</f>
        <v>2.4400000000000002E-2</v>
      </c>
    </row>
    <row r="196" spans="1:4" x14ac:dyDescent="0.2">
      <c r="A196" s="4">
        <v>293</v>
      </c>
      <c r="B196" s="4">
        <v>2.4400000000000002E-2</v>
      </c>
      <c r="C196" s="4">
        <v>0</v>
      </c>
      <c r="D196" s="4">
        <f t="shared" si="3"/>
        <v>2.4400000000000002E-2</v>
      </c>
    </row>
    <row r="197" spans="1:4" x14ac:dyDescent="0.2">
      <c r="A197" s="4">
        <v>294</v>
      </c>
      <c r="B197" s="4">
        <v>2.4299999999999999E-2</v>
      </c>
      <c r="C197" s="4">
        <v>0</v>
      </c>
      <c r="D197" s="4">
        <f t="shared" si="3"/>
        <v>2.4299999999999999E-2</v>
      </c>
    </row>
    <row r="198" spans="1:4" x14ac:dyDescent="0.2">
      <c r="A198" s="4">
        <v>295</v>
      </c>
      <c r="B198" s="4">
        <v>2.4299999999999999E-2</v>
      </c>
      <c r="C198" s="4">
        <v>0</v>
      </c>
      <c r="D198" s="4">
        <f t="shared" si="3"/>
        <v>2.4299999999999999E-2</v>
      </c>
    </row>
    <row r="199" spans="1:4" x14ac:dyDescent="0.2">
      <c r="A199" s="4">
        <v>296</v>
      </c>
      <c r="B199" s="4">
        <v>2.4199999999999999E-2</v>
      </c>
      <c r="C199" s="4">
        <v>0</v>
      </c>
      <c r="D199" s="4">
        <f t="shared" si="3"/>
        <v>2.4199999999999999E-2</v>
      </c>
    </row>
    <row r="200" spans="1:4" x14ac:dyDescent="0.2">
      <c r="A200" s="4">
        <v>297</v>
      </c>
      <c r="B200" s="4">
        <v>2.4E-2</v>
      </c>
      <c r="C200" s="4">
        <v>0</v>
      </c>
      <c r="D200" s="4">
        <f t="shared" si="3"/>
        <v>2.4E-2</v>
      </c>
    </row>
    <row r="201" spans="1:4" x14ac:dyDescent="0.2">
      <c r="A201" s="4">
        <v>298</v>
      </c>
      <c r="B201" s="4">
        <v>2.3800000000000002E-2</v>
      </c>
      <c r="C201" s="4">
        <v>0</v>
      </c>
      <c r="D201" s="4">
        <f t="shared" si="3"/>
        <v>2.3800000000000002E-2</v>
      </c>
    </row>
    <row r="202" spans="1:4" x14ac:dyDescent="0.2">
      <c r="A202" s="4">
        <v>299</v>
      </c>
      <c r="B202" s="4">
        <v>2.3599999999999999E-2</v>
      </c>
      <c r="C202" s="4">
        <v>0</v>
      </c>
      <c r="D202" s="4">
        <f t="shared" si="3"/>
        <v>2.3599999999999999E-2</v>
      </c>
    </row>
    <row r="203" spans="1:4" x14ac:dyDescent="0.2">
      <c r="A203" s="4">
        <v>300</v>
      </c>
      <c r="B203" s="4">
        <v>2.3300000000000001E-2</v>
      </c>
      <c r="C203" s="4">
        <v>0</v>
      </c>
      <c r="D203" s="4">
        <f t="shared" si="3"/>
        <v>2.3300000000000001E-2</v>
      </c>
    </row>
    <row r="204" spans="1:4" x14ac:dyDescent="0.2">
      <c r="A204" s="4">
        <v>301</v>
      </c>
      <c r="B204" s="4">
        <v>2.3099999999999999E-2</v>
      </c>
      <c r="C204" s="4">
        <v>0</v>
      </c>
      <c r="D204" s="4">
        <f t="shared" si="3"/>
        <v>2.3099999999999999E-2</v>
      </c>
    </row>
    <row r="205" spans="1:4" x14ac:dyDescent="0.2">
      <c r="A205" s="4">
        <v>302</v>
      </c>
      <c r="B205" s="4">
        <v>2.2800000000000001E-2</v>
      </c>
      <c r="C205" s="4">
        <v>0</v>
      </c>
      <c r="D205" s="4">
        <f t="shared" si="3"/>
        <v>2.2800000000000001E-2</v>
      </c>
    </row>
    <row r="206" spans="1:4" x14ac:dyDescent="0.2">
      <c r="A206" s="4">
        <v>303</v>
      </c>
      <c r="B206" s="4">
        <v>2.2499999999999999E-2</v>
      </c>
      <c r="C206" s="4">
        <v>0</v>
      </c>
      <c r="D206" s="4">
        <f t="shared" si="3"/>
        <v>2.2499999999999999E-2</v>
      </c>
    </row>
    <row r="207" spans="1:4" x14ac:dyDescent="0.2">
      <c r="A207" s="4">
        <v>304</v>
      </c>
      <c r="B207" s="4">
        <v>2.2200000000000001E-2</v>
      </c>
      <c r="C207" s="4">
        <v>0</v>
      </c>
      <c r="D207" s="4">
        <f t="shared" si="3"/>
        <v>2.2200000000000001E-2</v>
      </c>
    </row>
    <row r="208" spans="1:4" x14ac:dyDescent="0.2">
      <c r="A208" s="4">
        <v>305</v>
      </c>
      <c r="B208" s="4">
        <v>2.1899999999999999E-2</v>
      </c>
      <c r="C208" s="4">
        <v>0</v>
      </c>
      <c r="D208" s="4">
        <f t="shared" si="3"/>
        <v>2.1899999999999999E-2</v>
      </c>
    </row>
    <row r="209" spans="1:4" x14ac:dyDescent="0.2">
      <c r="A209" s="4">
        <v>306</v>
      </c>
      <c r="B209" s="4">
        <v>2.1600000000000001E-2</v>
      </c>
      <c r="C209" s="4">
        <v>0</v>
      </c>
      <c r="D209" s="4">
        <f t="shared" si="3"/>
        <v>2.1600000000000001E-2</v>
      </c>
    </row>
    <row r="210" spans="1:4" x14ac:dyDescent="0.2">
      <c r="A210" s="4">
        <v>307</v>
      </c>
      <c r="B210" s="4">
        <v>2.1299999999999999E-2</v>
      </c>
      <c r="C210" s="4">
        <v>0</v>
      </c>
      <c r="D210" s="4">
        <f t="shared" si="3"/>
        <v>2.1299999999999999E-2</v>
      </c>
    </row>
    <row r="211" spans="1:4" x14ac:dyDescent="0.2">
      <c r="A211" s="4">
        <v>308</v>
      </c>
      <c r="B211" s="4">
        <v>2.0899999999999998E-2</v>
      </c>
      <c r="C211" s="4">
        <v>0</v>
      </c>
      <c r="D211" s="4">
        <f t="shared" si="3"/>
        <v>2.0899999999999998E-2</v>
      </c>
    </row>
    <row r="212" spans="1:4" x14ac:dyDescent="0.2">
      <c r="A212" s="4">
        <v>309</v>
      </c>
      <c r="B212" s="4">
        <v>2.06E-2</v>
      </c>
      <c r="C212" s="4">
        <v>0</v>
      </c>
      <c r="D212" s="4">
        <f t="shared" si="3"/>
        <v>2.06E-2</v>
      </c>
    </row>
    <row r="213" spans="1:4" x14ac:dyDescent="0.2">
      <c r="A213" s="4">
        <v>310</v>
      </c>
      <c r="B213" s="4">
        <v>2.0299999999999999E-2</v>
      </c>
      <c r="C213" s="4">
        <v>0</v>
      </c>
      <c r="D213" s="4">
        <f t="shared" si="3"/>
        <v>2.0299999999999999E-2</v>
      </c>
    </row>
    <row r="214" spans="1:4" x14ac:dyDescent="0.2">
      <c r="A214" s="4">
        <v>311</v>
      </c>
      <c r="B214" s="4">
        <v>1.9900000000000001E-2</v>
      </c>
      <c r="C214" s="4">
        <v>0</v>
      </c>
      <c r="D214" s="4">
        <f t="shared" si="3"/>
        <v>1.9900000000000001E-2</v>
      </c>
    </row>
    <row r="215" spans="1:4" x14ac:dyDescent="0.2">
      <c r="A215" s="4">
        <v>312</v>
      </c>
      <c r="B215" s="4">
        <v>1.9599999999999999E-2</v>
      </c>
      <c r="C215" s="4">
        <v>0</v>
      </c>
      <c r="D215" s="4">
        <f t="shared" si="3"/>
        <v>1.9599999999999999E-2</v>
      </c>
    </row>
    <row r="216" spans="1:4" x14ac:dyDescent="0.2">
      <c r="A216" s="4">
        <v>313</v>
      </c>
      <c r="B216" s="4">
        <v>1.9300000000000001E-2</v>
      </c>
      <c r="C216" s="4">
        <v>0</v>
      </c>
      <c r="D216" s="4">
        <f t="shared" si="3"/>
        <v>1.9300000000000001E-2</v>
      </c>
    </row>
    <row r="217" spans="1:4" x14ac:dyDescent="0.2">
      <c r="A217" s="4">
        <v>314</v>
      </c>
      <c r="B217" s="4">
        <v>1.9E-2</v>
      </c>
      <c r="C217" s="4">
        <v>0</v>
      </c>
      <c r="D217" s="4">
        <f t="shared" si="3"/>
        <v>1.9E-2</v>
      </c>
    </row>
    <row r="218" spans="1:4" x14ac:dyDescent="0.2">
      <c r="A218" s="4">
        <v>315</v>
      </c>
      <c r="B218" s="4">
        <v>1.8599999999999998E-2</v>
      </c>
      <c r="C218" s="4">
        <v>0</v>
      </c>
      <c r="D218" s="4">
        <f t="shared" si="3"/>
        <v>1.8599999999999998E-2</v>
      </c>
    </row>
    <row r="219" spans="1:4" x14ac:dyDescent="0.2">
      <c r="A219" s="4">
        <v>316</v>
      </c>
      <c r="B219" s="4">
        <v>1.83E-2</v>
      </c>
      <c r="C219" s="4">
        <v>0</v>
      </c>
      <c r="D219" s="4">
        <f t="shared" si="3"/>
        <v>1.83E-2</v>
      </c>
    </row>
    <row r="220" spans="1:4" x14ac:dyDescent="0.2">
      <c r="A220" s="4">
        <v>317</v>
      </c>
      <c r="B220" s="4">
        <v>1.7999999999999999E-2</v>
      </c>
      <c r="C220" s="4">
        <v>0</v>
      </c>
      <c r="D220" s="4">
        <f t="shared" si="3"/>
        <v>1.7999999999999999E-2</v>
      </c>
    </row>
    <row r="221" spans="1:4" x14ac:dyDescent="0.2">
      <c r="A221" s="4">
        <v>318</v>
      </c>
      <c r="B221" s="4">
        <v>1.77E-2</v>
      </c>
      <c r="C221" s="4">
        <v>0</v>
      </c>
      <c r="D221" s="4">
        <f t="shared" si="3"/>
        <v>1.77E-2</v>
      </c>
    </row>
    <row r="222" spans="1:4" x14ac:dyDescent="0.2">
      <c r="A222" s="4">
        <v>319</v>
      </c>
      <c r="B222" s="4">
        <v>1.7399999999999999E-2</v>
      </c>
      <c r="C222" s="4">
        <v>0</v>
      </c>
      <c r="D222" s="4">
        <f t="shared" si="3"/>
        <v>1.7399999999999999E-2</v>
      </c>
    </row>
    <row r="223" spans="1:4" x14ac:dyDescent="0.2">
      <c r="A223" s="4">
        <v>320</v>
      </c>
      <c r="B223" s="4">
        <v>1.7100000000000001E-2</v>
      </c>
      <c r="C223" s="4">
        <v>0</v>
      </c>
      <c r="D223" s="4">
        <f t="shared" si="3"/>
        <v>1.7100000000000001E-2</v>
      </c>
    </row>
    <row r="224" spans="1:4" x14ac:dyDescent="0.2">
      <c r="A224" s="4">
        <v>321</v>
      </c>
      <c r="B224" s="4">
        <v>1.6799999999999999E-2</v>
      </c>
      <c r="C224" s="4">
        <v>0</v>
      </c>
      <c r="D224" s="4">
        <f t="shared" si="3"/>
        <v>1.6799999999999999E-2</v>
      </c>
    </row>
    <row r="225" spans="1:4" x14ac:dyDescent="0.2">
      <c r="A225" s="4">
        <v>322</v>
      </c>
      <c r="B225" s="4">
        <v>1.6500000000000001E-2</v>
      </c>
      <c r="C225" s="4">
        <v>0</v>
      </c>
      <c r="D225" s="4">
        <f t="shared" si="3"/>
        <v>1.6500000000000001E-2</v>
      </c>
    </row>
    <row r="226" spans="1:4" x14ac:dyDescent="0.2">
      <c r="A226" s="4">
        <v>323</v>
      </c>
      <c r="B226" s="4">
        <v>1.6199999999999999E-2</v>
      </c>
      <c r="C226" s="4">
        <v>0</v>
      </c>
      <c r="D226" s="4">
        <f t="shared" si="3"/>
        <v>1.6199999999999999E-2</v>
      </c>
    </row>
    <row r="227" spans="1:4" x14ac:dyDescent="0.2">
      <c r="A227" s="4">
        <v>324</v>
      </c>
      <c r="B227" s="4">
        <v>1.5900000000000001E-2</v>
      </c>
      <c r="C227" s="4">
        <v>0</v>
      </c>
      <c r="D227" s="4">
        <f t="shared" si="3"/>
        <v>1.5900000000000001E-2</v>
      </c>
    </row>
    <row r="228" spans="1:4" x14ac:dyDescent="0.2">
      <c r="A228" s="4">
        <v>325</v>
      </c>
      <c r="B228" s="4">
        <v>1.5699999999999999E-2</v>
      </c>
      <c r="C228" s="4">
        <v>0</v>
      </c>
      <c r="D228" s="4">
        <f t="shared" si="3"/>
        <v>1.5699999999999999E-2</v>
      </c>
    </row>
    <row r="229" spans="1:4" x14ac:dyDescent="0.2">
      <c r="A229" s="4">
        <v>326</v>
      </c>
      <c r="B229" s="4">
        <v>1.54E-2</v>
      </c>
      <c r="C229" s="4">
        <v>0</v>
      </c>
      <c r="D229" s="4">
        <f t="shared" si="3"/>
        <v>1.54E-2</v>
      </c>
    </row>
    <row r="230" spans="1:4" x14ac:dyDescent="0.2">
      <c r="A230" s="4">
        <v>327</v>
      </c>
      <c r="B230" s="4">
        <v>1.5100000000000001E-2</v>
      </c>
      <c r="C230" s="4">
        <v>0</v>
      </c>
      <c r="D230" s="4">
        <f t="shared" si="3"/>
        <v>1.5100000000000001E-2</v>
      </c>
    </row>
    <row r="231" spans="1:4" x14ac:dyDescent="0.2">
      <c r="A231" s="4">
        <v>328</v>
      </c>
      <c r="B231" s="4">
        <v>1.49E-2</v>
      </c>
      <c r="C231" s="4">
        <v>0</v>
      </c>
      <c r="D231" s="4">
        <f t="shared" si="3"/>
        <v>1.49E-2</v>
      </c>
    </row>
    <row r="232" spans="1:4" x14ac:dyDescent="0.2">
      <c r="A232" s="4">
        <v>329</v>
      </c>
      <c r="B232" s="4">
        <v>1.46E-2</v>
      </c>
      <c r="C232" s="4">
        <v>0</v>
      </c>
      <c r="D232" s="4">
        <f t="shared" si="3"/>
        <v>1.46E-2</v>
      </c>
    </row>
    <row r="233" spans="1:4" x14ac:dyDescent="0.2">
      <c r="A233" s="4">
        <v>330</v>
      </c>
      <c r="B233" s="4">
        <v>1.44E-2</v>
      </c>
      <c r="C233" s="4">
        <v>0</v>
      </c>
      <c r="D233" s="4">
        <f t="shared" si="3"/>
        <v>1.44E-2</v>
      </c>
    </row>
    <row r="234" spans="1:4" x14ac:dyDescent="0.2">
      <c r="A234" s="4">
        <v>331</v>
      </c>
      <c r="B234" s="4">
        <v>1.41E-2</v>
      </c>
      <c r="C234" s="4">
        <v>0</v>
      </c>
      <c r="D234" s="4">
        <f t="shared" si="3"/>
        <v>1.41E-2</v>
      </c>
    </row>
    <row r="235" spans="1:4" x14ac:dyDescent="0.2">
      <c r="A235" s="4">
        <v>332</v>
      </c>
      <c r="B235" s="4">
        <v>1.3899999999999999E-2</v>
      </c>
      <c r="C235" s="4">
        <v>0</v>
      </c>
      <c r="D235" s="4">
        <f t="shared" si="3"/>
        <v>1.3899999999999999E-2</v>
      </c>
    </row>
    <row r="236" spans="1:4" x14ac:dyDescent="0.2">
      <c r="A236" s="4">
        <v>333</v>
      </c>
      <c r="B236" s="4">
        <v>1.37E-2</v>
      </c>
      <c r="C236" s="4">
        <v>0</v>
      </c>
      <c r="D236" s="4">
        <f t="shared" si="3"/>
        <v>1.37E-2</v>
      </c>
    </row>
    <row r="237" spans="1:4" x14ac:dyDescent="0.2">
      <c r="A237" s="4">
        <v>334</v>
      </c>
      <c r="B237" s="4">
        <v>1.34E-2</v>
      </c>
      <c r="C237" s="4">
        <v>0</v>
      </c>
      <c r="D237" s="4">
        <f t="shared" si="3"/>
        <v>1.34E-2</v>
      </c>
    </row>
    <row r="238" spans="1:4" x14ac:dyDescent="0.2">
      <c r="A238" s="4">
        <v>335</v>
      </c>
      <c r="B238" s="4">
        <v>1.32E-2</v>
      </c>
      <c r="C238" s="4">
        <v>0</v>
      </c>
      <c r="D238" s="4">
        <f t="shared" si="3"/>
        <v>1.32E-2</v>
      </c>
    </row>
    <row r="239" spans="1:4" x14ac:dyDescent="0.2">
      <c r="A239" s="4">
        <v>336</v>
      </c>
      <c r="B239" s="4">
        <v>1.2999999999999999E-2</v>
      </c>
      <c r="C239" s="4">
        <v>0</v>
      </c>
      <c r="D239" s="4">
        <f t="shared" si="3"/>
        <v>1.2999999999999999E-2</v>
      </c>
    </row>
    <row r="240" spans="1:4" x14ac:dyDescent="0.2">
      <c r="A240" s="4">
        <v>337</v>
      </c>
      <c r="B240" s="4">
        <v>1.2800000000000001E-2</v>
      </c>
      <c r="C240" s="4">
        <v>0</v>
      </c>
      <c r="D240" s="4">
        <f t="shared" si="3"/>
        <v>1.2800000000000001E-2</v>
      </c>
    </row>
    <row r="241" spans="1:4" x14ac:dyDescent="0.2">
      <c r="A241" s="4">
        <v>338</v>
      </c>
      <c r="B241" s="4">
        <v>1.26E-2</v>
      </c>
      <c r="C241" s="4">
        <v>0</v>
      </c>
      <c r="D241" s="4">
        <f t="shared" si="3"/>
        <v>1.26E-2</v>
      </c>
    </row>
    <row r="242" spans="1:4" x14ac:dyDescent="0.2">
      <c r="A242" s="4">
        <v>339</v>
      </c>
      <c r="B242" s="4">
        <v>1.24E-2</v>
      </c>
      <c r="C242" s="4">
        <v>0</v>
      </c>
      <c r="D242" s="4">
        <f t="shared" si="3"/>
        <v>1.24E-2</v>
      </c>
    </row>
    <row r="243" spans="1:4" x14ac:dyDescent="0.2">
      <c r="A243" s="4">
        <v>340</v>
      </c>
      <c r="B243" s="4">
        <v>1.21E-2</v>
      </c>
      <c r="C243" s="4">
        <v>0</v>
      </c>
      <c r="D243" s="4">
        <f t="shared" si="3"/>
        <v>1.21E-2</v>
      </c>
    </row>
    <row r="244" spans="1:4" x14ac:dyDescent="0.2">
      <c r="A244" s="4">
        <v>341</v>
      </c>
      <c r="B244" s="4">
        <v>1.1900000000000001E-2</v>
      </c>
      <c r="C244" s="4">
        <v>0</v>
      </c>
      <c r="D244" s="4">
        <f t="shared" si="3"/>
        <v>1.1900000000000001E-2</v>
      </c>
    </row>
    <row r="245" spans="1:4" x14ac:dyDescent="0.2">
      <c r="A245" s="4">
        <v>342</v>
      </c>
      <c r="B245" s="4">
        <v>1.17E-2</v>
      </c>
      <c r="C245" s="4">
        <v>0</v>
      </c>
      <c r="D245" s="4">
        <f t="shared" si="3"/>
        <v>1.17E-2</v>
      </c>
    </row>
    <row r="246" spans="1:4" x14ac:dyDescent="0.2">
      <c r="A246" s="4">
        <v>343</v>
      </c>
      <c r="B246" s="4">
        <v>1.15E-2</v>
      </c>
      <c r="C246" s="4">
        <v>0</v>
      </c>
      <c r="D246" s="4">
        <f t="shared" si="3"/>
        <v>1.15E-2</v>
      </c>
    </row>
    <row r="247" spans="1:4" x14ac:dyDescent="0.2">
      <c r="A247" s="4">
        <v>344</v>
      </c>
      <c r="B247" s="4">
        <v>1.1299999999999999E-2</v>
      </c>
      <c r="C247" s="4">
        <v>0</v>
      </c>
      <c r="D247" s="4">
        <f t="shared" si="3"/>
        <v>1.1299999999999999E-2</v>
      </c>
    </row>
    <row r="248" spans="1:4" x14ac:dyDescent="0.2">
      <c r="A248" s="4">
        <v>345</v>
      </c>
      <c r="B248" s="4">
        <v>1.11E-2</v>
      </c>
      <c r="C248" s="4">
        <v>0</v>
      </c>
      <c r="D248" s="4">
        <f t="shared" si="3"/>
        <v>1.11E-2</v>
      </c>
    </row>
    <row r="249" spans="1:4" x14ac:dyDescent="0.2">
      <c r="A249" s="4">
        <v>346</v>
      </c>
      <c r="B249" s="4">
        <v>1.0999999999999999E-2</v>
      </c>
      <c r="C249" s="4">
        <v>0</v>
      </c>
      <c r="D249" s="4">
        <f t="shared" si="3"/>
        <v>1.0999999999999999E-2</v>
      </c>
    </row>
    <row r="250" spans="1:4" x14ac:dyDescent="0.2">
      <c r="A250" s="4">
        <v>347</v>
      </c>
      <c r="B250" s="4">
        <v>1.0800000000000001E-2</v>
      </c>
      <c r="C250" s="4">
        <v>0</v>
      </c>
      <c r="D250" s="4">
        <f t="shared" si="3"/>
        <v>1.0800000000000001E-2</v>
      </c>
    </row>
    <row r="251" spans="1:4" x14ac:dyDescent="0.2">
      <c r="A251" s="4">
        <v>348</v>
      </c>
      <c r="B251" s="4">
        <v>1.06E-2</v>
      </c>
      <c r="C251" s="4">
        <v>0</v>
      </c>
      <c r="D251" s="4">
        <f t="shared" si="3"/>
        <v>1.06E-2</v>
      </c>
    </row>
    <row r="252" spans="1:4" x14ac:dyDescent="0.2">
      <c r="A252" s="4">
        <v>349</v>
      </c>
      <c r="B252" s="4">
        <v>1.04E-2</v>
      </c>
      <c r="C252" s="4">
        <v>0</v>
      </c>
      <c r="D252" s="4">
        <f t="shared" si="3"/>
        <v>1.04E-2</v>
      </c>
    </row>
    <row r="253" spans="1:4" x14ac:dyDescent="0.2">
      <c r="A253" s="4">
        <v>350</v>
      </c>
      <c r="B253" s="4">
        <v>1.0200000000000001E-2</v>
      </c>
      <c r="C253" s="4">
        <v>0</v>
      </c>
      <c r="D253" s="4">
        <f t="shared" si="3"/>
        <v>1.0200000000000001E-2</v>
      </c>
    </row>
    <row r="254" spans="1:4" x14ac:dyDescent="0.2">
      <c r="A254" s="4">
        <v>351</v>
      </c>
      <c r="B254" s="4">
        <v>1.01E-2</v>
      </c>
      <c r="C254" s="4">
        <v>0</v>
      </c>
      <c r="D254" s="4">
        <f t="shared" si="3"/>
        <v>1.01E-2</v>
      </c>
    </row>
    <row r="255" spans="1:4" x14ac:dyDescent="0.2">
      <c r="A255" s="4">
        <v>352</v>
      </c>
      <c r="B255" s="4">
        <v>9.9000000000000008E-3</v>
      </c>
      <c r="C255" s="4">
        <v>0</v>
      </c>
      <c r="D255" s="4">
        <f t="shared" si="3"/>
        <v>9.9000000000000008E-3</v>
      </c>
    </row>
    <row r="256" spans="1:4" x14ac:dyDescent="0.2">
      <c r="A256" s="4">
        <v>353</v>
      </c>
      <c r="B256" s="4">
        <v>9.7000000000000003E-3</v>
      </c>
      <c r="C256" s="4">
        <v>0</v>
      </c>
      <c r="D256" s="4">
        <f t="shared" si="3"/>
        <v>9.7000000000000003E-3</v>
      </c>
    </row>
    <row r="257" spans="1:4" x14ac:dyDescent="0.2">
      <c r="A257" s="4">
        <v>354</v>
      </c>
      <c r="B257" s="4">
        <v>9.4999999999999998E-3</v>
      </c>
      <c r="C257" s="4">
        <v>0</v>
      </c>
      <c r="D257" s="4">
        <f t="shared" si="3"/>
        <v>9.4999999999999998E-3</v>
      </c>
    </row>
    <row r="258" spans="1:4" x14ac:dyDescent="0.2">
      <c r="A258" s="4">
        <v>355</v>
      </c>
      <c r="B258" s="4">
        <v>9.2999999999999992E-3</v>
      </c>
      <c r="C258" s="4">
        <v>0</v>
      </c>
      <c r="D258" s="4">
        <f t="shared" si="3"/>
        <v>9.2999999999999992E-3</v>
      </c>
    </row>
    <row r="259" spans="1:4" x14ac:dyDescent="0.2">
      <c r="A259" s="4">
        <v>356</v>
      </c>
      <c r="B259" s="4">
        <v>9.1999999999999998E-3</v>
      </c>
      <c r="C259" s="4">
        <v>0</v>
      </c>
      <c r="D259" s="4">
        <f t="shared" ref="D259:D322" si="4">B259-C259</f>
        <v>9.1999999999999998E-3</v>
      </c>
    </row>
    <row r="260" spans="1:4" x14ac:dyDescent="0.2">
      <c r="A260" s="4">
        <v>357</v>
      </c>
      <c r="B260" s="4">
        <v>8.9999999999999993E-3</v>
      </c>
      <c r="C260" s="4">
        <v>0</v>
      </c>
      <c r="D260" s="4">
        <f t="shared" si="4"/>
        <v>8.9999999999999993E-3</v>
      </c>
    </row>
    <row r="261" spans="1:4" x14ac:dyDescent="0.2">
      <c r="A261" s="4">
        <v>358</v>
      </c>
      <c r="B261" s="4">
        <v>8.8000000000000005E-3</v>
      </c>
      <c r="C261" s="4">
        <v>0</v>
      </c>
      <c r="D261" s="4">
        <f t="shared" si="4"/>
        <v>8.8000000000000005E-3</v>
      </c>
    </row>
    <row r="262" spans="1:4" x14ac:dyDescent="0.2">
      <c r="A262" s="4">
        <v>359</v>
      </c>
      <c r="B262" s="4">
        <v>8.6999999999999994E-3</v>
      </c>
      <c r="C262" s="4">
        <v>0</v>
      </c>
      <c r="D262" s="4">
        <f t="shared" si="4"/>
        <v>8.6999999999999994E-3</v>
      </c>
    </row>
    <row r="263" spans="1:4" x14ac:dyDescent="0.2">
      <c r="A263" s="4">
        <v>360</v>
      </c>
      <c r="B263" s="4">
        <v>8.5000000000000006E-3</v>
      </c>
      <c r="C263" s="4">
        <v>0</v>
      </c>
      <c r="D263" s="4">
        <f t="shared" si="4"/>
        <v>8.5000000000000006E-3</v>
      </c>
    </row>
    <row r="264" spans="1:4" x14ac:dyDescent="0.2">
      <c r="A264" s="4">
        <v>361</v>
      </c>
      <c r="B264" s="4">
        <v>8.3999999999999995E-3</v>
      </c>
      <c r="C264" s="4">
        <v>0</v>
      </c>
      <c r="D264" s="4">
        <f t="shared" si="4"/>
        <v>8.3999999999999995E-3</v>
      </c>
    </row>
    <row r="265" spans="1:4" x14ac:dyDescent="0.2">
      <c r="A265" s="4">
        <v>362</v>
      </c>
      <c r="B265" s="4">
        <v>8.3000000000000001E-3</v>
      </c>
      <c r="C265" s="4">
        <v>0</v>
      </c>
      <c r="D265" s="4">
        <f t="shared" si="4"/>
        <v>8.3000000000000001E-3</v>
      </c>
    </row>
    <row r="266" spans="1:4" x14ac:dyDescent="0.2">
      <c r="A266" s="4">
        <v>363</v>
      </c>
      <c r="B266" s="4">
        <v>8.2000000000000007E-3</v>
      </c>
      <c r="C266" s="4">
        <v>0</v>
      </c>
      <c r="D266" s="4">
        <f t="shared" si="4"/>
        <v>8.2000000000000007E-3</v>
      </c>
    </row>
    <row r="267" spans="1:4" x14ac:dyDescent="0.2">
      <c r="A267" s="4">
        <v>364</v>
      </c>
      <c r="B267" s="4">
        <v>8.0999999999999996E-3</v>
      </c>
      <c r="C267" s="4">
        <v>0</v>
      </c>
      <c r="D267" s="4">
        <f t="shared" si="4"/>
        <v>8.0999999999999996E-3</v>
      </c>
    </row>
    <row r="268" spans="1:4" x14ac:dyDescent="0.2">
      <c r="A268" s="4">
        <v>365</v>
      </c>
      <c r="B268" s="4">
        <v>8.0000000000000002E-3</v>
      </c>
      <c r="C268" s="4">
        <v>0</v>
      </c>
      <c r="D268" s="4">
        <f t="shared" si="4"/>
        <v>8.0000000000000002E-3</v>
      </c>
    </row>
    <row r="269" spans="1:4" x14ac:dyDescent="0.2">
      <c r="A269" s="4">
        <v>366</v>
      </c>
      <c r="B269" s="4">
        <v>7.9000000000000008E-3</v>
      </c>
      <c r="C269" s="4">
        <v>0</v>
      </c>
      <c r="D269" s="4">
        <f t="shared" si="4"/>
        <v>7.9000000000000008E-3</v>
      </c>
    </row>
    <row r="270" spans="1:4" x14ac:dyDescent="0.2">
      <c r="A270" s="4">
        <v>367</v>
      </c>
      <c r="B270" s="4">
        <v>7.9000000000000008E-3</v>
      </c>
      <c r="C270" s="4">
        <v>0</v>
      </c>
      <c r="D270" s="4">
        <f t="shared" si="4"/>
        <v>7.9000000000000008E-3</v>
      </c>
    </row>
    <row r="271" spans="1:4" x14ac:dyDescent="0.2">
      <c r="A271" s="4">
        <v>368</v>
      </c>
      <c r="B271" s="4">
        <v>7.7999999999999996E-3</v>
      </c>
      <c r="C271" s="4">
        <v>0</v>
      </c>
      <c r="D271" s="4">
        <f t="shared" si="4"/>
        <v>7.7999999999999996E-3</v>
      </c>
    </row>
    <row r="272" spans="1:4" x14ac:dyDescent="0.2">
      <c r="A272" s="4">
        <v>369</v>
      </c>
      <c r="B272" s="4">
        <v>7.7999999999999996E-3</v>
      </c>
      <c r="C272" s="4">
        <v>0</v>
      </c>
      <c r="D272" s="4">
        <f t="shared" si="4"/>
        <v>7.7999999999999996E-3</v>
      </c>
    </row>
    <row r="273" spans="1:4" x14ac:dyDescent="0.2">
      <c r="A273" s="4">
        <v>370</v>
      </c>
      <c r="B273" s="4">
        <v>7.7999999999999996E-3</v>
      </c>
      <c r="C273" s="4">
        <v>0</v>
      </c>
      <c r="D273" s="4">
        <f t="shared" si="4"/>
        <v>7.7999999999999996E-3</v>
      </c>
    </row>
    <row r="274" spans="1:4" x14ac:dyDescent="0.2">
      <c r="A274" s="4">
        <v>371</v>
      </c>
      <c r="B274" s="4">
        <v>7.7999999999999996E-3</v>
      </c>
      <c r="C274" s="4">
        <v>0</v>
      </c>
      <c r="D274" s="4">
        <f t="shared" si="4"/>
        <v>7.7999999999999996E-3</v>
      </c>
    </row>
    <row r="275" spans="1:4" x14ac:dyDescent="0.2">
      <c r="A275" s="4">
        <v>372</v>
      </c>
      <c r="B275" s="4">
        <v>7.7999999999999996E-3</v>
      </c>
      <c r="C275" s="4">
        <v>0</v>
      </c>
      <c r="D275" s="4">
        <f t="shared" si="4"/>
        <v>7.7999999999999996E-3</v>
      </c>
    </row>
    <row r="276" spans="1:4" x14ac:dyDescent="0.2">
      <c r="A276" s="4">
        <v>373</v>
      </c>
      <c r="B276" s="4">
        <v>7.7999999999999996E-3</v>
      </c>
      <c r="C276" s="4">
        <v>0</v>
      </c>
      <c r="D276" s="4">
        <f t="shared" si="4"/>
        <v>7.7999999999999996E-3</v>
      </c>
    </row>
    <row r="277" spans="1:4" x14ac:dyDescent="0.2">
      <c r="A277" s="4">
        <v>374</v>
      </c>
      <c r="B277" s="4">
        <v>7.7999999999999996E-3</v>
      </c>
      <c r="C277" s="4">
        <v>0</v>
      </c>
      <c r="D277" s="4">
        <f t="shared" si="4"/>
        <v>7.7999999999999996E-3</v>
      </c>
    </row>
    <row r="278" spans="1:4" x14ac:dyDescent="0.2">
      <c r="A278" s="4">
        <v>375</v>
      </c>
      <c r="B278" s="4">
        <v>7.7999999999999996E-3</v>
      </c>
      <c r="C278" s="4">
        <v>0</v>
      </c>
      <c r="D278" s="4">
        <f t="shared" si="4"/>
        <v>7.7999999999999996E-3</v>
      </c>
    </row>
    <row r="279" spans="1:4" x14ac:dyDescent="0.2">
      <c r="A279" s="4">
        <v>376</v>
      </c>
      <c r="B279" s="4">
        <v>7.7999999999999996E-3</v>
      </c>
      <c r="C279" s="4">
        <v>0</v>
      </c>
      <c r="D279" s="4">
        <f t="shared" si="4"/>
        <v>7.7999999999999996E-3</v>
      </c>
    </row>
    <row r="280" spans="1:4" x14ac:dyDescent="0.2">
      <c r="A280" s="4">
        <v>377</v>
      </c>
      <c r="B280" s="4">
        <v>7.7999999999999996E-3</v>
      </c>
      <c r="C280" s="4">
        <v>0</v>
      </c>
      <c r="D280" s="4">
        <f t="shared" si="4"/>
        <v>7.7999999999999996E-3</v>
      </c>
    </row>
    <row r="281" spans="1:4" x14ac:dyDescent="0.2">
      <c r="A281" s="4">
        <v>378</v>
      </c>
      <c r="B281" s="4">
        <v>7.7999999999999996E-3</v>
      </c>
      <c r="C281" s="4">
        <v>0</v>
      </c>
      <c r="D281" s="4">
        <f t="shared" si="4"/>
        <v>7.7999999999999996E-3</v>
      </c>
    </row>
    <row r="282" spans="1:4" x14ac:dyDescent="0.2">
      <c r="A282" s="4">
        <v>379</v>
      </c>
      <c r="B282" s="4">
        <v>7.7999999999999996E-3</v>
      </c>
      <c r="C282" s="4">
        <v>0</v>
      </c>
      <c r="D282" s="4">
        <f t="shared" si="4"/>
        <v>7.7999999999999996E-3</v>
      </c>
    </row>
    <row r="283" spans="1:4" x14ac:dyDescent="0.2">
      <c r="A283" s="4">
        <v>380</v>
      </c>
      <c r="B283" s="4">
        <v>7.7999999999999996E-3</v>
      </c>
      <c r="C283" s="4">
        <v>0</v>
      </c>
      <c r="D283" s="4">
        <f t="shared" si="4"/>
        <v>7.7999999999999996E-3</v>
      </c>
    </row>
    <row r="284" spans="1:4" x14ac:dyDescent="0.2">
      <c r="A284" s="4">
        <v>381</v>
      </c>
      <c r="B284" s="4">
        <v>7.7999999999999996E-3</v>
      </c>
      <c r="C284" s="4">
        <v>0</v>
      </c>
      <c r="D284" s="4">
        <f t="shared" si="4"/>
        <v>7.7999999999999996E-3</v>
      </c>
    </row>
    <row r="285" spans="1:4" x14ac:dyDescent="0.2">
      <c r="A285" s="4">
        <v>382</v>
      </c>
      <c r="B285" s="4">
        <v>7.7999999999999996E-3</v>
      </c>
      <c r="C285" s="4">
        <v>0</v>
      </c>
      <c r="D285" s="4">
        <f t="shared" si="4"/>
        <v>7.7999999999999996E-3</v>
      </c>
    </row>
    <row r="286" spans="1:4" x14ac:dyDescent="0.2">
      <c r="A286" s="4">
        <v>383</v>
      </c>
      <c r="B286" s="4">
        <v>7.7999999999999996E-3</v>
      </c>
      <c r="C286" s="4">
        <v>0</v>
      </c>
      <c r="D286" s="4">
        <f t="shared" si="4"/>
        <v>7.7999999999999996E-3</v>
      </c>
    </row>
    <row r="287" spans="1:4" x14ac:dyDescent="0.2">
      <c r="A287" s="4">
        <v>384</v>
      </c>
      <c r="B287" s="4">
        <v>7.7999999999999996E-3</v>
      </c>
      <c r="C287" s="4">
        <v>0</v>
      </c>
      <c r="D287" s="4">
        <f t="shared" si="4"/>
        <v>7.7999999999999996E-3</v>
      </c>
    </row>
    <row r="288" spans="1:4" x14ac:dyDescent="0.2">
      <c r="A288" s="4">
        <v>385</v>
      </c>
      <c r="B288" s="4">
        <v>7.7999999999999996E-3</v>
      </c>
      <c r="C288" s="4">
        <v>0</v>
      </c>
      <c r="D288" s="4">
        <f t="shared" si="4"/>
        <v>7.7999999999999996E-3</v>
      </c>
    </row>
    <row r="289" spans="1:4" x14ac:dyDescent="0.2">
      <c r="A289" s="4">
        <v>386</v>
      </c>
      <c r="B289" s="4">
        <v>7.7999999999999996E-3</v>
      </c>
      <c r="C289" s="4">
        <v>0</v>
      </c>
      <c r="D289" s="4">
        <f t="shared" si="4"/>
        <v>7.7999999999999996E-3</v>
      </c>
    </row>
    <row r="290" spans="1:4" x14ac:dyDescent="0.2">
      <c r="A290" s="4">
        <v>387</v>
      </c>
      <c r="B290" s="4">
        <v>7.7999999999999996E-3</v>
      </c>
      <c r="C290" s="4">
        <v>0</v>
      </c>
      <c r="D290" s="4">
        <f t="shared" si="4"/>
        <v>7.7999999999999996E-3</v>
      </c>
    </row>
    <row r="291" spans="1:4" x14ac:dyDescent="0.2">
      <c r="A291" s="4">
        <v>388</v>
      </c>
      <c r="B291" s="4">
        <v>7.7999999999999996E-3</v>
      </c>
      <c r="C291" s="4">
        <v>0</v>
      </c>
      <c r="D291" s="4">
        <f t="shared" si="4"/>
        <v>7.7999999999999996E-3</v>
      </c>
    </row>
    <row r="292" spans="1:4" x14ac:dyDescent="0.2">
      <c r="A292" s="4">
        <v>389</v>
      </c>
      <c r="B292" s="4">
        <v>7.7000000000000002E-3</v>
      </c>
      <c r="C292" s="4">
        <v>0</v>
      </c>
      <c r="D292" s="4">
        <f t="shared" si="4"/>
        <v>7.7000000000000002E-3</v>
      </c>
    </row>
    <row r="293" spans="1:4" x14ac:dyDescent="0.2">
      <c r="A293" s="4">
        <v>390</v>
      </c>
      <c r="B293" s="4">
        <v>7.7000000000000002E-3</v>
      </c>
      <c r="C293" s="4">
        <v>0</v>
      </c>
      <c r="D293" s="4">
        <f t="shared" si="4"/>
        <v>7.7000000000000002E-3</v>
      </c>
    </row>
    <row r="294" spans="1:4" x14ac:dyDescent="0.2">
      <c r="A294" s="4">
        <v>391</v>
      </c>
      <c r="B294" s="4">
        <v>7.7000000000000002E-3</v>
      </c>
      <c r="C294" s="4">
        <v>0</v>
      </c>
      <c r="D294" s="4">
        <f t="shared" si="4"/>
        <v>7.7000000000000002E-3</v>
      </c>
    </row>
    <row r="295" spans="1:4" x14ac:dyDescent="0.2">
      <c r="A295" s="4">
        <v>392</v>
      </c>
      <c r="B295" s="4">
        <v>7.7000000000000002E-3</v>
      </c>
      <c r="C295" s="4">
        <v>0</v>
      </c>
      <c r="D295" s="4">
        <f t="shared" si="4"/>
        <v>7.7000000000000002E-3</v>
      </c>
    </row>
    <row r="296" spans="1:4" x14ac:dyDescent="0.2">
      <c r="A296" s="4">
        <v>393</v>
      </c>
      <c r="B296" s="4">
        <v>7.7000000000000002E-3</v>
      </c>
      <c r="C296" s="4">
        <v>0</v>
      </c>
      <c r="D296" s="4">
        <f t="shared" si="4"/>
        <v>7.7000000000000002E-3</v>
      </c>
    </row>
    <row r="297" spans="1:4" x14ac:dyDescent="0.2">
      <c r="A297" s="4">
        <v>394</v>
      </c>
      <c r="B297" s="4">
        <v>7.7000000000000002E-3</v>
      </c>
      <c r="C297" s="4">
        <v>0</v>
      </c>
      <c r="D297" s="4">
        <f t="shared" si="4"/>
        <v>7.7000000000000002E-3</v>
      </c>
    </row>
    <row r="298" spans="1:4" x14ac:dyDescent="0.2">
      <c r="A298" s="4">
        <v>395</v>
      </c>
      <c r="B298" s="4">
        <v>7.7000000000000002E-3</v>
      </c>
      <c r="C298" s="4">
        <v>0</v>
      </c>
      <c r="D298" s="4">
        <f t="shared" si="4"/>
        <v>7.7000000000000002E-3</v>
      </c>
    </row>
    <row r="299" spans="1:4" x14ac:dyDescent="0.2">
      <c r="A299" s="4">
        <v>396</v>
      </c>
      <c r="B299" s="4">
        <v>7.7000000000000002E-3</v>
      </c>
      <c r="C299" s="4">
        <v>0</v>
      </c>
      <c r="D299" s="4">
        <f t="shared" si="4"/>
        <v>7.7000000000000002E-3</v>
      </c>
    </row>
    <row r="300" spans="1:4" x14ac:dyDescent="0.2">
      <c r="A300" s="4">
        <v>397</v>
      </c>
      <c r="B300" s="4">
        <v>7.6E-3</v>
      </c>
      <c r="C300" s="4">
        <v>0</v>
      </c>
      <c r="D300" s="4">
        <f t="shared" si="4"/>
        <v>7.6E-3</v>
      </c>
    </row>
    <row r="301" spans="1:4" x14ac:dyDescent="0.2">
      <c r="A301" s="4">
        <v>398</v>
      </c>
      <c r="B301" s="4">
        <v>7.6E-3</v>
      </c>
      <c r="C301" s="4">
        <v>0</v>
      </c>
      <c r="D301" s="4">
        <f t="shared" si="4"/>
        <v>7.6E-3</v>
      </c>
    </row>
    <row r="302" spans="1:4" x14ac:dyDescent="0.2">
      <c r="A302" s="4">
        <v>399</v>
      </c>
      <c r="B302" s="4">
        <v>7.6E-3</v>
      </c>
      <c r="C302" s="4">
        <v>0</v>
      </c>
      <c r="D302" s="4">
        <f t="shared" si="4"/>
        <v>7.6E-3</v>
      </c>
    </row>
    <row r="303" spans="1:4" x14ac:dyDescent="0.2">
      <c r="A303" s="4">
        <v>400</v>
      </c>
      <c r="B303" s="4">
        <v>7.6E-3</v>
      </c>
      <c r="C303" s="4">
        <v>0</v>
      </c>
      <c r="D303" s="4">
        <f t="shared" si="4"/>
        <v>7.6E-3</v>
      </c>
    </row>
    <row r="304" spans="1:4" x14ac:dyDescent="0.2">
      <c r="A304" s="4">
        <v>401</v>
      </c>
      <c r="B304" s="4">
        <v>7.6E-3</v>
      </c>
      <c r="C304" s="4">
        <v>0</v>
      </c>
      <c r="D304" s="4">
        <f t="shared" si="4"/>
        <v>7.6E-3</v>
      </c>
    </row>
    <row r="305" spans="1:4" x14ac:dyDescent="0.2">
      <c r="A305" s="4">
        <v>402</v>
      </c>
      <c r="B305" s="4">
        <v>7.4999999999999997E-3</v>
      </c>
      <c r="C305" s="4">
        <v>0</v>
      </c>
      <c r="D305" s="4">
        <f t="shared" si="4"/>
        <v>7.4999999999999997E-3</v>
      </c>
    </row>
    <row r="306" spans="1:4" x14ac:dyDescent="0.2">
      <c r="A306" s="4">
        <v>403</v>
      </c>
      <c r="B306" s="4">
        <v>7.4999999999999997E-3</v>
      </c>
      <c r="C306" s="4">
        <v>0</v>
      </c>
      <c r="D306" s="4">
        <f t="shared" si="4"/>
        <v>7.4999999999999997E-3</v>
      </c>
    </row>
    <row r="307" spans="1:4" x14ac:dyDescent="0.2">
      <c r="A307" s="4">
        <v>404</v>
      </c>
      <c r="B307" s="4">
        <v>7.4999999999999997E-3</v>
      </c>
      <c r="C307" s="4">
        <v>0</v>
      </c>
      <c r="D307" s="4">
        <f t="shared" si="4"/>
        <v>7.4999999999999997E-3</v>
      </c>
    </row>
    <row r="308" spans="1:4" x14ac:dyDescent="0.2">
      <c r="A308" s="4">
        <v>405</v>
      </c>
      <c r="B308" s="4">
        <v>7.4999999999999997E-3</v>
      </c>
      <c r="C308" s="4">
        <v>0</v>
      </c>
      <c r="D308" s="4">
        <f t="shared" si="4"/>
        <v>7.4999999999999997E-3</v>
      </c>
    </row>
    <row r="309" spans="1:4" x14ac:dyDescent="0.2">
      <c r="A309" s="4">
        <v>406</v>
      </c>
      <c r="B309" s="4">
        <v>7.4000000000000003E-3</v>
      </c>
      <c r="C309" s="4">
        <v>0</v>
      </c>
      <c r="D309" s="4">
        <f t="shared" si="4"/>
        <v>7.4000000000000003E-3</v>
      </c>
    </row>
    <row r="310" spans="1:4" x14ac:dyDescent="0.2">
      <c r="A310" s="4">
        <v>407</v>
      </c>
      <c r="B310" s="4">
        <v>7.4000000000000003E-3</v>
      </c>
      <c r="C310" s="4">
        <v>0</v>
      </c>
      <c r="D310" s="4">
        <f t="shared" si="4"/>
        <v>7.4000000000000003E-3</v>
      </c>
    </row>
    <row r="311" spans="1:4" x14ac:dyDescent="0.2">
      <c r="A311" s="4">
        <v>408</v>
      </c>
      <c r="B311" s="4">
        <v>7.4000000000000003E-3</v>
      </c>
      <c r="C311" s="4">
        <v>0</v>
      </c>
      <c r="D311" s="4">
        <f t="shared" si="4"/>
        <v>7.4000000000000003E-3</v>
      </c>
    </row>
    <row r="312" spans="1:4" x14ac:dyDescent="0.2">
      <c r="A312" s="4">
        <v>409</v>
      </c>
      <c r="B312" s="4">
        <v>7.4000000000000003E-3</v>
      </c>
      <c r="C312" s="4">
        <v>0</v>
      </c>
      <c r="D312" s="4">
        <f t="shared" si="4"/>
        <v>7.4000000000000003E-3</v>
      </c>
    </row>
    <row r="313" spans="1:4" x14ac:dyDescent="0.2">
      <c r="A313" s="4">
        <v>410</v>
      </c>
      <c r="B313" s="4">
        <v>7.3000000000000001E-3</v>
      </c>
      <c r="C313" s="4">
        <v>0</v>
      </c>
      <c r="D313" s="4">
        <f t="shared" si="4"/>
        <v>7.3000000000000001E-3</v>
      </c>
    </row>
    <row r="314" spans="1:4" x14ac:dyDescent="0.2">
      <c r="A314" s="4">
        <v>411</v>
      </c>
      <c r="B314" s="4">
        <v>7.3000000000000001E-3</v>
      </c>
      <c r="C314" s="4">
        <v>0</v>
      </c>
      <c r="D314" s="4">
        <f t="shared" si="4"/>
        <v>7.3000000000000001E-3</v>
      </c>
    </row>
    <row r="315" spans="1:4" x14ac:dyDescent="0.2">
      <c r="A315" s="4">
        <v>412</v>
      </c>
      <c r="B315" s="4">
        <v>7.3000000000000001E-3</v>
      </c>
      <c r="C315" s="4">
        <v>0</v>
      </c>
      <c r="D315" s="4">
        <f t="shared" si="4"/>
        <v>7.3000000000000001E-3</v>
      </c>
    </row>
    <row r="316" spans="1:4" x14ac:dyDescent="0.2">
      <c r="A316" s="4">
        <v>413</v>
      </c>
      <c r="B316" s="4">
        <v>7.3000000000000001E-3</v>
      </c>
      <c r="C316" s="4">
        <v>0</v>
      </c>
      <c r="D316" s="4">
        <f t="shared" si="4"/>
        <v>7.3000000000000001E-3</v>
      </c>
    </row>
    <row r="317" spans="1:4" x14ac:dyDescent="0.2">
      <c r="A317" s="4">
        <v>414</v>
      </c>
      <c r="B317" s="4">
        <v>7.1999999999999998E-3</v>
      </c>
      <c r="C317" s="4">
        <v>0</v>
      </c>
      <c r="D317" s="4">
        <f t="shared" si="4"/>
        <v>7.1999999999999998E-3</v>
      </c>
    </row>
    <row r="318" spans="1:4" x14ac:dyDescent="0.2">
      <c r="A318" s="4">
        <v>415</v>
      </c>
      <c r="B318" s="4">
        <v>7.1999999999999998E-3</v>
      </c>
      <c r="C318" s="4">
        <v>0</v>
      </c>
      <c r="D318" s="4">
        <f t="shared" si="4"/>
        <v>7.1999999999999998E-3</v>
      </c>
    </row>
    <row r="319" spans="1:4" x14ac:dyDescent="0.2">
      <c r="A319" s="4">
        <v>416</v>
      </c>
      <c r="B319" s="4">
        <v>7.1999999999999998E-3</v>
      </c>
      <c r="C319" s="4">
        <v>0</v>
      </c>
      <c r="D319" s="4">
        <f t="shared" si="4"/>
        <v>7.1999999999999998E-3</v>
      </c>
    </row>
    <row r="320" spans="1:4" x14ac:dyDescent="0.2">
      <c r="A320" s="4">
        <v>417</v>
      </c>
      <c r="B320" s="4">
        <v>7.1000000000000004E-3</v>
      </c>
      <c r="C320" s="4">
        <v>0</v>
      </c>
      <c r="D320" s="4">
        <f t="shared" si="4"/>
        <v>7.1000000000000004E-3</v>
      </c>
    </row>
    <row r="321" spans="1:4" x14ac:dyDescent="0.2">
      <c r="A321" s="4">
        <v>418</v>
      </c>
      <c r="B321" s="4">
        <v>7.1000000000000004E-3</v>
      </c>
      <c r="C321" s="4">
        <v>0</v>
      </c>
      <c r="D321" s="4">
        <f t="shared" si="4"/>
        <v>7.1000000000000004E-3</v>
      </c>
    </row>
    <row r="322" spans="1:4" x14ac:dyDescent="0.2">
      <c r="A322" s="4">
        <v>419</v>
      </c>
      <c r="B322" s="4">
        <v>7.0000000000000001E-3</v>
      </c>
      <c r="C322" s="4">
        <v>0</v>
      </c>
      <c r="D322" s="4">
        <f t="shared" si="4"/>
        <v>7.0000000000000001E-3</v>
      </c>
    </row>
    <row r="323" spans="1:4" x14ac:dyDescent="0.2">
      <c r="A323" s="4">
        <v>420</v>
      </c>
      <c r="B323" s="4">
        <v>7.0000000000000001E-3</v>
      </c>
      <c r="C323" s="4">
        <v>0</v>
      </c>
      <c r="D323" s="4">
        <f t="shared" ref="D323:D386" si="5">B323-C323</f>
        <v>7.0000000000000001E-3</v>
      </c>
    </row>
    <row r="324" spans="1:4" x14ac:dyDescent="0.2">
      <c r="A324" s="4">
        <v>421</v>
      </c>
      <c r="B324" s="4">
        <v>7.0000000000000001E-3</v>
      </c>
      <c r="C324" s="4">
        <v>0</v>
      </c>
      <c r="D324" s="4">
        <f t="shared" si="5"/>
        <v>7.0000000000000001E-3</v>
      </c>
    </row>
    <row r="325" spans="1:4" x14ac:dyDescent="0.2">
      <c r="A325" s="4">
        <v>422</v>
      </c>
      <c r="B325" s="4">
        <v>6.8999999999999999E-3</v>
      </c>
      <c r="C325" s="4">
        <v>0</v>
      </c>
      <c r="D325" s="4">
        <f t="shared" si="5"/>
        <v>6.8999999999999999E-3</v>
      </c>
    </row>
    <row r="326" spans="1:4" x14ac:dyDescent="0.2">
      <c r="A326" s="4">
        <v>423</v>
      </c>
      <c r="B326" s="4">
        <v>6.8999999999999999E-3</v>
      </c>
      <c r="C326" s="4">
        <v>0</v>
      </c>
      <c r="D326" s="4">
        <f t="shared" si="5"/>
        <v>6.8999999999999999E-3</v>
      </c>
    </row>
    <row r="327" spans="1:4" x14ac:dyDescent="0.2">
      <c r="A327" s="4">
        <v>424</v>
      </c>
      <c r="B327" s="4">
        <v>6.8999999999999999E-3</v>
      </c>
      <c r="C327" s="4">
        <v>0</v>
      </c>
      <c r="D327" s="4">
        <f t="shared" si="5"/>
        <v>6.8999999999999999E-3</v>
      </c>
    </row>
    <row r="328" spans="1:4" x14ac:dyDescent="0.2">
      <c r="A328" s="4">
        <v>425</v>
      </c>
      <c r="B328" s="4">
        <v>6.7999999999999996E-3</v>
      </c>
      <c r="C328" s="4">
        <v>0</v>
      </c>
      <c r="D328" s="4">
        <f t="shared" si="5"/>
        <v>6.7999999999999996E-3</v>
      </c>
    </row>
    <row r="329" spans="1:4" x14ac:dyDescent="0.2">
      <c r="A329" s="4">
        <v>426</v>
      </c>
      <c r="B329" s="4">
        <v>6.7999999999999996E-3</v>
      </c>
      <c r="C329" s="4">
        <v>0</v>
      </c>
      <c r="D329" s="4">
        <f t="shared" si="5"/>
        <v>6.7999999999999996E-3</v>
      </c>
    </row>
    <row r="330" spans="1:4" x14ac:dyDescent="0.2">
      <c r="A330" s="4">
        <v>427</v>
      </c>
      <c r="B330" s="4">
        <v>6.7999999999999996E-3</v>
      </c>
      <c r="C330" s="4">
        <v>0</v>
      </c>
      <c r="D330" s="4">
        <f t="shared" si="5"/>
        <v>6.7999999999999996E-3</v>
      </c>
    </row>
    <row r="331" spans="1:4" x14ac:dyDescent="0.2">
      <c r="A331" s="4">
        <v>428</v>
      </c>
      <c r="B331" s="4">
        <v>6.7000000000000002E-3</v>
      </c>
      <c r="C331" s="4">
        <v>0</v>
      </c>
      <c r="D331" s="4">
        <f t="shared" si="5"/>
        <v>6.7000000000000002E-3</v>
      </c>
    </row>
    <row r="332" spans="1:4" x14ac:dyDescent="0.2">
      <c r="A332" s="4">
        <v>429</v>
      </c>
      <c r="B332" s="4">
        <v>6.7000000000000002E-3</v>
      </c>
      <c r="C332" s="4">
        <v>0</v>
      </c>
      <c r="D332" s="4">
        <f t="shared" si="5"/>
        <v>6.7000000000000002E-3</v>
      </c>
    </row>
    <row r="333" spans="1:4" x14ac:dyDescent="0.2">
      <c r="A333" s="4">
        <v>430</v>
      </c>
      <c r="B333" s="4">
        <v>6.7000000000000002E-3</v>
      </c>
      <c r="C333" s="4">
        <v>0</v>
      </c>
      <c r="D333" s="4">
        <f t="shared" si="5"/>
        <v>6.7000000000000002E-3</v>
      </c>
    </row>
    <row r="334" spans="1:4" x14ac:dyDescent="0.2">
      <c r="A334" s="4">
        <v>431</v>
      </c>
      <c r="B334" s="4">
        <v>6.6E-3</v>
      </c>
      <c r="C334" s="4">
        <v>0</v>
      </c>
      <c r="D334" s="4">
        <f t="shared" si="5"/>
        <v>6.6E-3</v>
      </c>
    </row>
    <row r="335" spans="1:4" x14ac:dyDescent="0.2">
      <c r="A335" s="4">
        <v>432</v>
      </c>
      <c r="B335" s="4">
        <v>6.6E-3</v>
      </c>
      <c r="C335" s="4">
        <v>0</v>
      </c>
      <c r="D335" s="4">
        <f t="shared" si="5"/>
        <v>6.6E-3</v>
      </c>
    </row>
    <row r="336" spans="1:4" x14ac:dyDescent="0.2">
      <c r="A336" s="4">
        <v>433</v>
      </c>
      <c r="B336" s="4">
        <v>6.6E-3</v>
      </c>
      <c r="C336" s="4">
        <v>0</v>
      </c>
      <c r="D336" s="4">
        <f t="shared" si="5"/>
        <v>6.6E-3</v>
      </c>
    </row>
    <row r="337" spans="1:4" x14ac:dyDescent="0.2">
      <c r="A337" s="4">
        <v>434</v>
      </c>
      <c r="B337" s="4">
        <v>6.4999999999999997E-3</v>
      </c>
      <c r="C337" s="4">
        <v>0</v>
      </c>
      <c r="D337" s="4">
        <f t="shared" si="5"/>
        <v>6.4999999999999997E-3</v>
      </c>
    </row>
    <row r="338" spans="1:4" x14ac:dyDescent="0.2">
      <c r="A338" s="4">
        <v>435</v>
      </c>
      <c r="B338" s="4">
        <v>6.4999999999999997E-3</v>
      </c>
      <c r="C338" s="4">
        <v>0</v>
      </c>
      <c r="D338" s="4">
        <f t="shared" si="5"/>
        <v>6.4999999999999997E-3</v>
      </c>
    </row>
    <row r="339" spans="1:4" x14ac:dyDescent="0.2">
      <c r="A339" s="4">
        <v>436</v>
      </c>
      <c r="B339" s="4">
        <v>6.4999999999999997E-3</v>
      </c>
      <c r="C339" s="4">
        <v>0</v>
      </c>
      <c r="D339" s="4">
        <f t="shared" si="5"/>
        <v>6.4999999999999997E-3</v>
      </c>
    </row>
    <row r="340" spans="1:4" x14ac:dyDescent="0.2">
      <c r="A340" s="4">
        <v>437</v>
      </c>
      <c r="B340" s="4">
        <v>6.4000000000000003E-3</v>
      </c>
      <c r="C340" s="4">
        <v>0</v>
      </c>
      <c r="D340" s="4">
        <f t="shared" si="5"/>
        <v>6.4000000000000003E-3</v>
      </c>
    </row>
    <row r="341" spans="1:4" x14ac:dyDescent="0.2">
      <c r="A341" s="4">
        <v>438</v>
      </c>
      <c r="B341" s="4">
        <v>6.4000000000000003E-3</v>
      </c>
      <c r="C341" s="4">
        <v>0</v>
      </c>
      <c r="D341" s="4">
        <f t="shared" si="5"/>
        <v>6.4000000000000003E-3</v>
      </c>
    </row>
    <row r="342" spans="1:4" x14ac:dyDescent="0.2">
      <c r="A342" s="4">
        <v>439</v>
      </c>
      <c r="B342" s="4">
        <v>6.4000000000000003E-3</v>
      </c>
      <c r="C342" s="4">
        <v>0</v>
      </c>
      <c r="D342" s="4">
        <f t="shared" si="5"/>
        <v>6.4000000000000003E-3</v>
      </c>
    </row>
    <row r="343" spans="1:4" x14ac:dyDescent="0.2">
      <c r="A343" s="4">
        <v>440</v>
      </c>
      <c r="B343" s="4">
        <v>6.3E-3</v>
      </c>
      <c r="C343" s="4">
        <v>0</v>
      </c>
      <c r="D343" s="4">
        <f t="shared" si="5"/>
        <v>6.3E-3</v>
      </c>
    </row>
    <row r="344" spans="1:4" x14ac:dyDescent="0.2">
      <c r="A344" s="4">
        <v>441</v>
      </c>
      <c r="B344" s="4">
        <v>6.3E-3</v>
      </c>
      <c r="C344" s="4">
        <v>0</v>
      </c>
      <c r="D344" s="4">
        <f t="shared" si="5"/>
        <v>6.3E-3</v>
      </c>
    </row>
    <row r="345" spans="1:4" x14ac:dyDescent="0.2">
      <c r="A345" s="4">
        <v>442</v>
      </c>
      <c r="B345" s="4">
        <v>6.3E-3</v>
      </c>
      <c r="C345" s="4">
        <v>0</v>
      </c>
      <c r="D345" s="4">
        <f t="shared" si="5"/>
        <v>6.3E-3</v>
      </c>
    </row>
    <row r="346" spans="1:4" x14ac:dyDescent="0.2">
      <c r="A346" s="4">
        <v>443</v>
      </c>
      <c r="B346" s="4">
        <v>6.1999999999999998E-3</v>
      </c>
      <c r="C346" s="4">
        <v>0</v>
      </c>
      <c r="D346" s="4">
        <f t="shared" si="5"/>
        <v>6.1999999999999998E-3</v>
      </c>
    </row>
    <row r="347" spans="1:4" x14ac:dyDescent="0.2">
      <c r="A347" s="4">
        <v>444</v>
      </c>
      <c r="B347" s="4">
        <v>6.1999999999999998E-3</v>
      </c>
      <c r="C347" s="4">
        <v>0</v>
      </c>
      <c r="D347" s="4">
        <f t="shared" si="5"/>
        <v>6.1999999999999998E-3</v>
      </c>
    </row>
    <row r="348" spans="1:4" x14ac:dyDescent="0.2">
      <c r="A348" s="4">
        <v>445</v>
      </c>
      <c r="B348" s="4">
        <v>6.1999999999999998E-3</v>
      </c>
      <c r="C348" s="4">
        <v>0</v>
      </c>
      <c r="D348" s="4">
        <f t="shared" si="5"/>
        <v>6.1999999999999998E-3</v>
      </c>
    </row>
    <row r="349" spans="1:4" x14ac:dyDescent="0.2">
      <c r="A349" s="4">
        <v>446</v>
      </c>
      <c r="B349" s="4">
        <v>6.1999999999999998E-3</v>
      </c>
      <c r="C349" s="4">
        <v>0</v>
      </c>
      <c r="D349" s="4">
        <f t="shared" si="5"/>
        <v>6.1999999999999998E-3</v>
      </c>
    </row>
    <row r="350" spans="1:4" x14ac:dyDescent="0.2">
      <c r="A350" s="4">
        <v>447</v>
      </c>
      <c r="B350" s="4">
        <v>6.1000000000000004E-3</v>
      </c>
      <c r="C350" s="4">
        <v>0</v>
      </c>
      <c r="D350" s="4">
        <f t="shared" si="5"/>
        <v>6.1000000000000004E-3</v>
      </c>
    </row>
    <row r="351" spans="1:4" x14ac:dyDescent="0.2">
      <c r="A351" s="4">
        <v>448</v>
      </c>
      <c r="B351" s="4">
        <v>6.1000000000000004E-3</v>
      </c>
      <c r="C351" s="4">
        <v>0</v>
      </c>
      <c r="D351" s="4">
        <f t="shared" si="5"/>
        <v>6.1000000000000004E-3</v>
      </c>
    </row>
    <row r="352" spans="1:4" x14ac:dyDescent="0.2">
      <c r="A352" s="4">
        <v>449</v>
      </c>
      <c r="B352" s="4">
        <v>6.1000000000000004E-3</v>
      </c>
      <c r="C352" s="4">
        <v>0</v>
      </c>
      <c r="D352" s="4">
        <f t="shared" si="5"/>
        <v>6.1000000000000004E-3</v>
      </c>
    </row>
    <row r="353" spans="1:4" x14ac:dyDescent="0.2">
      <c r="A353" s="4">
        <v>450</v>
      </c>
      <c r="B353" s="4">
        <v>6.1000000000000004E-3</v>
      </c>
      <c r="C353" s="4">
        <v>0</v>
      </c>
      <c r="D353" s="4">
        <f t="shared" si="5"/>
        <v>6.1000000000000004E-3</v>
      </c>
    </row>
    <row r="354" spans="1:4" x14ac:dyDescent="0.2">
      <c r="A354" s="4">
        <v>451</v>
      </c>
      <c r="B354" s="4">
        <v>6.0000000000000001E-3</v>
      </c>
      <c r="C354" s="4">
        <v>0</v>
      </c>
      <c r="D354" s="4">
        <f t="shared" si="5"/>
        <v>6.0000000000000001E-3</v>
      </c>
    </row>
    <row r="355" spans="1:4" x14ac:dyDescent="0.2">
      <c r="A355" s="4">
        <v>452</v>
      </c>
      <c r="B355" s="4">
        <v>6.0000000000000001E-3</v>
      </c>
      <c r="C355" s="4">
        <v>0</v>
      </c>
      <c r="D355" s="4">
        <f t="shared" si="5"/>
        <v>6.0000000000000001E-3</v>
      </c>
    </row>
    <row r="356" spans="1:4" x14ac:dyDescent="0.2">
      <c r="A356" s="4">
        <v>453</v>
      </c>
      <c r="B356" s="4">
        <v>6.0000000000000001E-3</v>
      </c>
      <c r="C356" s="4">
        <v>0</v>
      </c>
      <c r="D356" s="4">
        <f t="shared" si="5"/>
        <v>6.0000000000000001E-3</v>
      </c>
    </row>
    <row r="357" spans="1:4" x14ac:dyDescent="0.2">
      <c r="A357" s="4">
        <v>454</v>
      </c>
      <c r="B357" s="4">
        <v>6.0000000000000001E-3</v>
      </c>
      <c r="C357" s="4">
        <v>0</v>
      </c>
      <c r="D357" s="4">
        <f t="shared" si="5"/>
        <v>6.0000000000000001E-3</v>
      </c>
    </row>
    <row r="358" spans="1:4" x14ac:dyDescent="0.2">
      <c r="A358" s="4">
        <v>455</v>
      </c>
      <c r="B358" s="4">
        <v>5.8999999999999999E-3</v>
      </c>
      <c r="C358" s="4">
        <v>0</v>
      </c>
      <c r="D358" s="4">
        <f t="shared" si="5"/>
        <v>5.8999999999999999E-3</v>
      </c>
    </row>
    <row r="359" spans="1:4" x14ac:dyDescent="0.2">
      <c r="A359" s="4">
        <v>456</v>
      </c>
      <c r="B359" s="4">
        <v>5.8999999999999999E-3</v>
      </c>
      <c r="C359" s="4">
        <v>0</v>
      </c>
      <c r="D359" s="4">
        <f t="shared" si="5"/>
        <v>5.8999999999999999E-3</v>
      </c>
    </row>
    <row r="360" spans="1:4" x14ac:dyDescent="0.2">
      <c r="A360" s="4">
        <v>457</v>
      </c>
      <c r="B360" s="4">
        <v>5.8999999999999999E-3</v>
      </c>
      <c r="C360" s="4">
        <v>0</v>
      </c>
      <c r="D360" s="4">
        <f t="shared" si="5"/>
        <v>5.8999999999999999E-3</v>
      </c>
    </row>
    <row r="361" spans="1:4" x14ac:dyDescent="0.2">
      <c r="A361" s="4">
        <v>458</v>
      </c>
      <c r="B361" s="4">
        <v>5.8999999999999999E-3</v>
      </c>
      <c r="C361" s="4">
        <v>0</v>
      </c>
      <c r="D361" s="4">
        <f t="shared" si="5"/>
        <v>5.8999999999999999E-3</v>
      </c>
    </row>
    <row r="362" spans="1:4" x14ac:dyDescent="0.2">
      <c r="A362" s="4">
        <v>459</v>
      </c>
      <c r="B362" s="4">
        <v>5.7999999999999996E-3</v>
      </c>
      <c r="C362" s="4">
        <v>0</v>
      </c>
      <c r="D362" s="4">
        <f t="shared" si="5"/>
        <v>5.7999999999999996E-3</v>
      </c>
    </row>
    <row r="363" spans="1:4" x14ac:dyDescent="0.2">
      <c r="A363" s="4">
        <v>460</v>
      </c>
      <c r="B363" s="4">
        <v>5.7999999999999996E-3</v>
      </c>
      <c r="C363" s="4">
        <v>0</v>
      </c>
      <c r="D363" s="4">
        <f t="shared" si="5"/>
        <v>5.7999999999999996E-3</v>
      </c>
    </row>
    <row r="364" spans="1:4" x14ac:dyDescent="0.2">
      <c r="A364" s="4">
        <v>461</v>
      </c>
      <c r="B364" s="4">
        <v>5.7999999999999996E-3</v>
      </c>
      <c r="C364" s="4">
        <v>0</v>
      </c>
      <c r="D364" s="4">
        <f t="shared" si="5"/>
        <v>5.7999999999999996E-3</v>
      </c>
    </row>
    <row r="365" spans="1:4" x14ac:dyDescent="0.2">
      <c r="A365" s="4">
        <v>462</v>
      </c>
      <c r="B365" s="4">
        <v>5.7000000000000002E-3</v>
      </c>
      <c r="C365" s="4">
        <v>0</v>
      </c>
      <c r="D365" s="4">
        <f t="shared" si="5"/>
        <v>5.7000000000000002E-3</v>
      </c>
    </row>
    <row r="366" spans="1:4" x14ac:dyDescent="0.2">
      <c r="A366" s="4">
        <v>463</v>
      </c>
      <c r="B366" s="4">
        <v>5.7000000000000002E-3</v>
      </c>
      <c r="C366" s="4">
        <v>0</v>
      </c>
      <c r="D366" s="4">
        <f t="shared" si="5"/>
        <v>5.7000000000000002E-3</v>
      </c>
    </row>
    <row r="367" spans="1:4" x14ac:dyDescent="0.2">
      <c r="A367" s="4">
        <v>464</v>
      </c>
      <c r="B367" s="4">
        <v>5.7000000000000002E-3</v>
      </c>
      <c r="C367" s="4">
        <v>0</v>
      </c>
      <c r="D367" s="4">
        <f t="shared" si="5"/>
        <v>5.7000000000000002E-3</v>
      </c>
    </row>
    <row r="368" spans="1:4" x14ac:dyDescent="0.2">
      <c r="A368" s="4">
        <v>465</v>
      </c>
      <c r="B368" s="4">
        <v>5.7000000000000002E-3</v>
      </c>
      <c r="C368" s="4">
        <v>0</v>
      </c>
      <c r="D368" s="4">
        <f t="shared" si="5"/>
        <v>5.7000000000000002E-3</v>
      </c>
    </row>
    <row r="369" spans="1:4" x14ac:dyDescent="0.2">
      <c r="A369" s="4">
        <v>466</v>
      </c>
      <c r="B369" s="4">
        <v>5.5999999999999999E-3</v>
      </c>
      <c r="C369" s="4">
        <v>0</v>
      </c>
      <c r="D369" s="4">
        <f t="shared" si="5"/>
        <v>5.5999999999999999E-3</v>
      </c>
    </row>
    <row r="370" spans="1:4" x14ac:dyDescent="0.2">
      <c r="A370" s="4">
        <v>467</v>
      </c>
      <c r="B370" s="4">
        <v>5.5999999999999999E-3</v>
      </c>
      <c r="C370" s="4">
        <v>0</v>
      </c>
      <c r="D370" s="4">
        <f t="shared" si="5"/>
        <v>5.5999999999999999E-3</v>
      </c>
    </row>
    <row r="371" spans="1:4" x14ac:dyDescent="0.2">
      <c r="A371" s="4">
        <v>468</v>
      </c>
      <c r="B371" s="4">
        <v>5.5999999999999999E-3</v>
      </c>
      <c r="C371" s="4">
        <v>0</v>
      </c>
      <c r="D371" s="4">
        <f t="shared" si="5"/>
        <v>5.5999999999999999E-3</v>
      </c>
    </row>
    <row r="372" spans="1:4" x14ac:dyDescent="0.2">
      <c r="A372" s="4">
        <v>469</v>
      </c>
      <c r="B372" s="4">
        <v>5.5999999999999999E-3</v>
      </c>
      <c r="C372" s="4">
        <v>0</v>
      </c>
      <c r="D372" s="4">
        <f t="shared" si="5"/>
        <v>5.5999999999999999E-3</v>
      </c>
    </row>
    <row r="373" spans="1:4" x14ac:dyDescent="0.2">
      <c r="A373" s="4">
        <v>470</v>
      </c>
      <c r="B373" s="4">
        <v>5.5999999999999999E-3</v>
      </c>
      <c r="C373" s="4">
        <v>0</v>
      </c>
      <c r="D373" s="4">
        <f t="shared" si="5"/>
        <v>5.5999999999999999E-3</v>
      </c>
    </row>
    <row r="374" spans="1:4" x14ac:dyDescent="0.2">
      <c r="A374" s="4">
        <v>471</v>
      </c>
      <c r="B374" s="4">
        <v>5.4999999999999997E-3</v>
      </c>
      <c r="C374" s="4">
        <v>0</v>
      </c>
      <c r="D374" s="4">
        <f t="shared" si="5"/>
        <v>5.4999999999999997E-3</v>
      </c>
    </row>
    <row r="375" spans="1:4" x14ac:dyDescent="0.2">
      <c r="A375" s="4">
        <v>472</v>
      </c>
      <c r="B375" s="4">
        <v>5.4999999999999997E-3</v>
      </c>
      <c r="C375" s="4">
        <v>0</v>
      </c>
      <c r="D375" s="4">
        <f t="shared" si="5"/>
        <v>5.4999999999999997E-3</v>
      </c>
    </row>
    <row r="376" spans="1:4" x14ac:dyDescent="0.2">
      <c r="A376" s="4">
        <v>473</v>
      </c>
      <c r="B376" s="4">
        <v>5.4999999999999997E-3</v>
      </c>
      <c r="C376" s="4">
        <v>0</v>
      </c>
      <c r="D376" s="4">
        <f t="shared" si="5"/>
        <v>5.4999999999999997E-3</v>
      </c>
    </row>
    <row r="377" spans="1:4" x14ac:dyDescent="0.2">
      <c r="A377" s="4">
        <v>474</v>
      </c>
      <c r="B377" s="4">
        <v>5.4999999999999997E-3</v>
      </c>
      <c r="C377" s="4">
        <v>0</v>
      </c>
      <c r="D377" s="4">
        <f t="shared" si="5"/>
        <v>5.4999999999999997E-3</v>
      </c>
    </row>
    <row r="378" spans="1:4" x14ac:dyDescent="0.2">
      <c r="A378" s="4">
        <v>475</v>
      </c>
      <c r="B378" s="4">
        <v>5.4000000000000003E-3</v>
      </c>
      <c r="C378" s="4">
        <v>0</v>
      </c>
      <c r="D378" s="4">
        <f t="shared" si="5"/>
        <v>5.4000000000000003E-3</v>
      </c>
    </row>
    <row r="379" spans="1:4" x14ac:dyDescent="0.2">
      <c r="A379" s="4">
        <v>476</v>
      </c>
      <c r="B379" s="4">
        <v>5.4000000000000003E-3</v>
      </c>
      <c r="C379" s="4">
        <v>0</v>
      </c>
      <c r="D379" s="4">
        <f t="shared" si="5"/>
        <v>5.4000000000000003E-3</v>
      </c>
    </row>
    <row r="380" spans="1:4" x14ac:dyDescent="0.2">
      <c r="A380" s="4">
        <v>477</v>
      </c>
      <c r="B380" s="4">
        <v>5.4000000000000003E-3</v>
      </c>
      <c r="C380" s="4">
        <v>0</v>
      </c>
      <c r="D380" s="4">
        <f t="shared" si="5"/>
        <v>5.4000000000000003E-3</v>
      </c>
    </row>
    <row r="381" spans="1:4" x14ac:dyDescent="0.2">
      <c r="A381" s="4">
        <v>478</v>
      </c>
      <c r="B381" s="4">
        <v>5.4000000000000003E-3</v>
      </c>
      <c r="C381" s="4">
        <v>0</v>
      </c>
      <c r="D381" s="4">
        <f t="shared" si="5"/>
        <v>5.4000000000000003E-3</v>
      </c>
    </row>
    <row r="382" spans="1:4" x14ac:dyDescent="0.2">
      <c r="A382" s="4">
        <v>479</v>
      </c>
      <c r="B382" s="4">
        <v>5.4000000000000003E-3</v>
      </c>
      <c r="C382" s="4">
        <v>0</v>
      </c>
      <c r="D382" s="4">
        <f t="shared" si="5"/>
        <v>5.4000000000000003E-3</v>
      </c>
    </row>
    <row r="383" spans="1:4" x14ac:dyDescent="0.2">
      <c r="A383" s="4">
        <v>480</v>
      </c>
      <c r="B383" s="4">
        <v>5.4000000000000003E-3</v>
      </c>
      <c r="C383" s="4">
        <v>0</v>
      </c>
      <c r="D383" s="4">
        <f t="shared" si="5"/>
        <v>5.4000000000000003E-3</v>
      </c>
    </row>
    <row r="384" spans="1:4" x14ac:dyDescent="0.2">
      <c r="A384" s="4">
        <v>481</v>
      </c>
      <c r="B384" s="4">
        <v>5.3E-3</v>
      </c>
      <c r="C384" s="4">
        <v>0</v>
      </c>
      <c r="D384" s="4">
        <f t="shared" si="5"/>
        <v>5.3E-3</v>
      </c>
    </row>
    <row r="385" spans="1:4" x14ac:dyDescent="0.2">
      <c r="A385" s="4">
        <v>482</v>
      </c>
      <c r="B385" s="4">
        <v>5.3E-3</v>
      </c>
      <c r="C385" s="4">
        <v>0</v>
      </c>
      <c r="D385" s="4">
        <f t="shared" si="5"/>
        <v>5.3E-3</v>
      </c>
    </row>
    <row r="386" spans="1:4" x14ac:dyDescent="0.2">
      <c r="A386" s="4">
        <v>483</v>
      </c>
      <c r="B386" s="4">
        <v>5.3E-3</v>
      </c>
      <c r="C386" s="4">
        <v>0</v>
      </c>
      <c r="D386" s="4">
        <f t="shared" si="5"/>
        <v>5.3E-3</v>
      </c>
    </row>
    <row r="387" spans="1:4" x14ac:dyDescent="0.2">
      <c r="A387" s="4">
        <v>484</v>
      </c>
      <c r="B387" s="4">
        <v>5.3E-3</v>
      </c>
      <c r="C387" s="4">
        <v>0</v>
      </c>
      <c r="D387" s="4">
        <f t="shared" ref="D387:D450" si="6">B387-C387</f>
        <v>5.3E-3</v>
      </c>
    </row>
    <row r="388" spans="1:4" x14ac:dyDescent="0.2">
      <c r="A388" s="4">
        <v>485</v>
      </c>
      <c r="B388" s="4">
        <v>5.3E-3</v>
      </c>
      <c r="C388" s="4">
        <v>0</v>
      </c>
      <c r="D388" s="4">
        <f t="shared" si="6"/>
        <v>5.3E-3</v>
      </c>
    </row>
    <row r="389" spans="1:4" x14ac:dyDescent="0.2">
      <c r="A389" s="4">
        <v>486</v>
      </c>
      <c r="B389" s="4">
        <v>5.3E-3</v>
      </c>
      <c r="C389" s="4">
        <v>0</v>
      </c>
      <c r="D389" s="4">
        <f t="shared" si="6"/>
        <v>5.3E-3</v>
      </c>
    </row>
    <row r="390" spans="1:4" x14ac:dyDescent="0.2">
      <c r="A390" s="4">
        <v>487</v>
      </c>
      <c r="B390" s="4">
        <v>5.1999999999999998E-3</v>
      </c>
      <c r="C390" s="4">
        <v>0</v>
      </c>
      <c r="D390" s="4">
        <f t="shared" si="6"/>
        <v>5.1999999999999998E-3</v>
      </c>
    </row>
    <row r="391" spans="1:4" x14ac:dyDescent="0.2">
      <c r="A391" s="4">
        <v>488</v>
      </c>
      <c r="B391" s="4">
        <v>5.1999999999999998E-3</v>
      </c>
      <c r="C391" s="4">
        <v>0</v>
      </c>
      <c r="D391" s="4">
        <f t="shared" si="6"/>
        <v>5.1999999999999998E-3</v>
      </c>
    </row>
    <row r="392" spans="1:4" x14ac:dyDescent="0.2">
      <c r="A392" s="4">
        <v>489</v>
      </c>
      <c r="B392" s="4">
        <v>5.1999999999999998E-3</v>
      </c>
      <c r="C392" s="4">
        <v>0</v>
      </c>
      <c r="D392" s="4">
        <f t="shared" si="6"/>
        <v>5.1999999999999998E-3</v>
      </c>
    </row>
    <row r="393" spans="1:4" x14ac:dyDescent="0.2">
      <c r="A393" s="4">
        <v>490</v>
      </c>
      <c r="B393" s="4">
        <v>5.1999999999999998E-3</v>
      </c>
      <c r="C393" s="4">
        <v>0</v>
      </c>
      <c r="D393" s="4">
        <f t="shared" si="6"/>
        <v>5.1999999999999998E-3</v>
      </c>
    </row>
    <row r="394" spans="1:4" x14ac:dyDescent="0.2">
      <c r="A394" s="4">
        <v>491</v>
      </c>
      <c r="B394" s="4">
        <v>5.1999999999999998E-3</v>
      </c>
      <c r="C394" s="4">
        <v>0</v>
      </c>
      <c r="D394" s="4">
        <f t="shared" si="6"/>
        <v>5.1999999999999998E-3</v>
      </c>
    </row>
    <row r="395" spans="1:4" x14ac:dyDescent="0.2">
      <c r="A395" s="4">
        <v>492</v>
      </c>
      <c r="B395" s="4">
        <v>5.1999999999999998E-3</v>
      </c>
      <c r="C395" s="4">
        <v>0</v>
      </c>
      <c r="D395" s="4">
        <f t="shared" si="6"/>
        <v>5.1999999999999998E-3</v>
      </c>
    </row>
    <row r="396" spans="1:4" x14ac:dyDescent="0.2">
      <c r="A396" s="4">
        <v>493</v>
      </c>
      <c r="B396" s="4">
        <v>5.1000000000000004E-3</v>
      </c>
      <c r="C396" s="4">
        <v>0</v>
      </c>
      <c r="D396" s="4">
        <f t="shared" si="6"/>
        <v>5.1000000000000004E-3</v>
      </c>
    </row>
    <row r="397" spans="1:4" x14ac:dyDescent="0.2">
      <c r="A397" s="4">
        <v>494</v>
      </c>
      <c r="B397" s="4">
        <v>5.1000000000000004E-3</v>
      </c>
      <c r="C397" s="4">
        <v>0</v>
      </c>
      <c r="D397" s="4">
        <f t="shared" si="6"/>
        <v>5.1000000000000004E-3</v>
      </c>
    </row>
    <row r="398" spans="1:4" x14ac:dyDescent="0.2">
      <c r="A398" s="4">
        <v>495</v>
      </c>
      <c r="B398" s="4">
        <v>5.1000000000000004E-3</v>
      </c>
      <c r="C398" s="4">
        <v>0</v>
      </c>
      <c r="D398" s="4">
        <f t="shared" si="6"/>
        <v>5.1000000000000004E-3</v>
      </c>
    </row>
    <row r="399" spans="1:4" x14ac:dyDescent="0.2">
      <c r="A399" s="4">
        <v>496</v>
      </c>
      <c r="B399" s="4">
        <v>5.1000000000000004E-3</v>
      </c>
      <c r="C399" s="4">
        <v>0</v>
      </c>
      <c r="D399" s="4">
        <f t="shared" si="6"/>
        <v>5.1000000000000004E-3</v>
      </c>
    </row>
    <row r="400" spans="1:4" x14ac:dyDescent="0.2">
      <c r="A400" s="4">
        <v>497</v>
      </c>
      <c r="B400" s="4">
        <v>5.1000000000000004E-3</v>
      </c>
      <c r="C400" s="4">
        <v>0</v>
      </c>
      <c r="D400" s="4">
        <f t="shared" si="6"/>
        <v>5.1000000000000004E-3</v>
      </c>
    </row>
    <row r="401" spans="1:4" x14ac:dyDescent="0.2">
      <c r="A401" s="4">
        <v>498</v>
      </c>
      <c r="B401" s="4">
        <v>5.1000000000000004E-3</v>
      </c>
      <c r="C401" s="4">
        <v>0</v>
      </c>
      <c r="D401" s="4">
        <f t="shared" si="6"/>
        <v>5.1000000000000004E-3</v>
      </c>
    </row>
    <row r="402" spans="1:4" x14ac:dyDescent="0.2">
      <c r="A402" s="4">
        <v>499</v>
      </c>
      <c r="B402" s="4">
        <v>5.0000000000000001E-3</v>
      </c>
      <c r="C402" s="4">
        <v>0</v>
      </c>
      <c r="D402" s="4">
        <f t="shared" si="6"/>
        <v>5.0000000000000001E-3</v>
      </c>
    </row>
    <row r="403" spans="1:4" x14ac:dyDescent="0.2">
      <c r="A403" s="4">
        <v>500</v>
      </c>
      <c r="B403" s="4">
        <v>5.0000000000000001E-3</v>
      </c>
      <c r="C403" s="4">
        <v>0</v>
      </c>
      <c r="D403" s="4">
        <f t="shared" si="6"/>
        <v>5.0000000000000001E-3</v>
      </c>
    </row>
    <row r="404" spans="1:4" x14ac:dyDescent="0.2">
      <c r="A404" s="4">
        <v>501</v>
      </c>
      <c r="B404" s="4">
        <v>5.0000000000000001E-3</v>
      </c>
      <c r="C404" s="4">
        <v>0</v>
      </c>
      <c r="D404" s="4">
        <f t="shared" si="6"/>
        <v>5.0000000000000001E-3</v>
      </c>
    </row>
    <row r="405" spans="1:4" x14ac:dyDescent="0.2">
      <c r="A405" s="4">
        <v>502</v>
      </c>
      <c r="B405" s="4">
        <v>5.0000000000000001E-3</v>
      </c>
      <c r="C405" s="4">
        <v>0</v>
      </c>
      <c r="D405" s="4">
        <f t="shared" si="6"/>
        <v>5.0000000000000001E-3</v>
      </c>
    </row>
    <row r="406" spans="1:4" x14ac:dyDescent="0.2">
      <c r="A406" s="4">
        <v>503</v>
      </c>
      <c r="B406" s="4">
        <v>5.0000000000000001E-3</v>
      </c>
      <c r="C406" s="4">
        <v>0</v>
      </c>
      <c r="D406" s="4">
        <f t="shared" si="6"/>
        <v>5.0000000000000001E-3</v>
      </c>
    </row>
    <row r="407" spans="1:4" x14ac:dyDescent="0.2">
      <c r="A407" s="4">
        <v>504</v>
      </c>
      <c r="B407" s="4">
        <v>5.0000000000000001E-3</v>
      </c>
      <c r="C407" s="4">
        <v>0</v>
      </c>
      <c r="D407" s="4">
        <f t="shared" si="6"/>
        <v>5.0000000000000001E-3</v>
      </c>
    </row>
    <row r="408" spans="1:4" x14ac:dyDescent="0.2">
      <c r="A408" s="4">
        <v>505</v>
      </c>
      <c r="B408" s="4">
        <v>4.8999999999999998E-3</v>
      </c>
      <c r="C408" s="4">
        <v>0</v>
      </c>
      <c r="D408" s="4">
        <f t="shared" si="6"/>
        <v>4.8999999999999998E-3</v>
      </c>
    </row>
    <row r="409" spans="1:4" x14ac:dyDescent="0.2">
      <c r="A409" s="4">
        <v>506</v>
      </c>
      <c r="B409" s="4">
        <v>4.8999999999999998E-3</v>
      </c>
      <c r="C409" s="4">
        <v>0</v>
      </c>
      <c r="D409" s="4">
        <f t="shared" si="6"/>
        <v>4.8999999999999998E-3</v>
      </c>
    </row>
    <row r="410" spans="1:4" x14ac:dyDescent="0.2">
      <c r="A410" s="4">
        <v>507</v>
      </c>
      <c r="B410" s="4">
        <v>4.8999999999999998E-3</v>
      </c>
      <c r="C410" s="4">
        <v>0</v>
      </c>
      <c r="D410" s="4">
        <f t="shared" si="6"/>
        <v>4.8999999999999998E-3</v>
      </c>
    </row>
    <row r="411" spans="1:4" x14ac:dyDescent="0.2">
      <c r="A411" s="4">
        <v>508</v>
      </c>
      <c r="B411" s="4">
        <v>4.8999999999999998E-3</v>
      </c>
      <c r="C411" s="4">
        <v>0</v>
      </c>
      <c r="D411" s="4">
        <f t="shared" si="6"/>
        <v>4.8999999999999998E-3</v>
      </c>
    </row>
    <row r="412" spans="1:4" x14ac:dyDescent="0.2">
      <c r="A412" s="4">
        <v>509</v>
      </c>
      <c r="B412" s="4">
        <v>4.8999999999999998E-3</v>
      </c>
      <c r="C412" s="4">
        <v>0</v>
      </c>
      <c r="D412" s="4">
        <f t="shared" si="6"/>
        <v>4.8999999999999998E-3</v>
      </c>
    </row>
    <row r="413" spans="1:4" x14ac:dyDescent="0.2">
      <c r="A413" s="4">
        <v>510</v>
      </c>
      <c r="B413" s="4">
        <v>4.8999999999999998E-3</v>
      </c>
      <c r="C413" s="4">
        <v>0</v>
      </c>
      <c r="D413" s="4">
        <f t="shared" si="6"/>
        <v>4.8999999999999998E-3</v>
      </c>
    </row>
    <row r="414" spans="1:4" x14ac:dyDescent="0.2">
      <c r="A414" s="4">
        <v>511</v>
      </c>
      <c r="B414" s="4">
        <v>4.8999999999999998E-3</v>
      </c>
      <c r="C414" s="4">
        <v>0</v>
      </c>
      <c r="D414" s="4">
        <f t="shared" si="6"/>
        <v>4.8999999999999998E-3</v>
      </c>
    </row>
    <row r="415" spans="1:4" x14ac:dyDescent="0.2">
      <c r="A415" s="4">
        <v>512</v>
      </c>
      <c r="B415" s="4">
        <v>4.7999999999999996E-3</v>
      </c>
      <c r="C415" s="4">
        <v>0</v>
      </c>
      <c r="D415" s="4">
        <f t="shared" si="6"/>
        <v>4.7999999999999996E-3</v>
      </c>
    </row>
    <row r="416" spans="1:4" x14ac:dyDescent="0.2">
      <c r="A416" s="4">
        <v>513</v>
      </c>
      <c r="B416" s="4">
        <v>4.7999999999999996E-3</v>
      </c>
      <c r="C416" s="4">
        <v>0</v>
      </c>
      <c r="D416" s="4">
        <f t="shared" si="6"/>
        <v>4.7999999999999996E-3</v>
      </c>
    </row>
    <row r="417" spans="1:4" x14ac:dyDescent="0.2">
      <c r="A417" s="4">
        <v>514</v>
      </c>
      <c r="B417" s="4">
        <v>4.7999999999999996E-3</v>
      </c>
      <c r="C417" s="4">
        <v>0</v>
      </c>
      <c r="D417" s="4">
        <f t="shared" si="6"/>
        <v>4.7999999999999996E-3</v>
      </c>
    </row>
    <row r="418" spans="1:4" x14ac:dyDescent="0.2">
      <c r="A418" s="4">
        <v>515</v>
      </c>
      <c r="B418" s="4">
        <v>4.7999999999999996E-3</v>
      </c>
      <c r="C418" s="4">
        <v>0</v>
      </c>
      <c r="D418" s="4">
        <f t="shared" si="6"/>
        <v>4.7999999999999996E-3</v>
      </c>
    </row>
    <row r="419" spans="1:4" x14ac:dyDescent="0.2">
      <c r="A419" s="4">
        <v>516</v>
      </c>
      <c r="B419" s="4">
        <v>4.7999999999999996E-3</v>
      </c>
      <c r="C419" s="4">
        <v>0</v>
      </c>
      <c r="D419" s="4">
        <f t="shared" si="6"/>
        <v>4.7999999999999996E-3</v>
      </c>
    </row>
    <row r="420" spans="1:4" x14ac:dyDescent="0.2">
      <c r="A420" s="4">
        <v>517</v>
      </c>
      <c r="B420" s="4">
        <v>4.7999999999999996E-3</v>
      </c>
      <c r="C420" s="4">
        <v>0</v>
      </c>
      <c r="D420" s="4">
        <f t="shared" si="6"/>
        <v>4.7999999999999996E-3</v>
      </c>
    </row>
    <row r="421" spans="1:4" x14ac:dyDescent="0.2">
      <c r="A421" s="4">
        <v>518</v>
      </c>
      <c r="B421" s="4">
        <v>4.7999999999999996E-3</v>
      </c>
      <c r="C421" s="4">
        <v>0</v>
      </c>
      <c r="D421" s="4">
        <f t="shared" si="6"/>
        <v>4.7999999999999996E-3</v>
      </c>
    </row>
    <row r="422" spans="1:4" x14ac:dyDescent="0.2">
      <c r="A422" s="4">
        <v>519</v>
      </c>
      <c r="B422" s="4">
        <v>4.7000000000000002E-3</v>
      </c>
      <c r="C422" s="4">
        <v>0</v>
      </c>
      <c r="D422" s="4">
        <f t="shared" si="6"/>
        <v>4.7000000000000002E-3</v>
      </c>
    </row>
    <row r="423" spans="1:4" x14ac:dyDescent="0.2">
      <c r="A423" s="4">
        <v>520</v>
      </c>
      <c r="B423" s="4">
        <v>4.7000000000000002E-3</v>
      </c>
      <c r="C423" s="4">
        <v>0</v>
      </c>
      <c r="D423" s="4">
        <f t="shared" si="6"/>
        <v>4.7000000000000002E-3</v>
      </c>
    </row>
    <row r="424" spans="1:4" x14ac:dyDescent="0.2">
      <c r="A424" s="4">
        <v>521</v>
      </c>
      <c r="B424" s="4">
        <v>4.7000000000000002E-3</v>
      </c>
      <c r="C424" s="4">
        <v>0</v>
      </c>
      <c r="D424" s="4">
        <f t="shared" si="6"/>
        <v>4.7000000000000002E-3</v>
      </c>
    </row>
    <row r="425" spans="1:4" x14ac:dyDescent="0.2">
      <c r="A425" s="4">
        <v>522</v>
      </c>
      <c r="B425" s="4">
        <v>4.7000000000000002E-3</v>
      </c>
      <c r="C425" s="4">
        <v>0</v>
      </c>
      <c r="D425" s="4">
        <f t="shared" si="6"/>
        <v>4.7000000000000002E-3</v>
      </c>
    </row>
    <row r="426" spans="1:4" x14ac:dyDescent="0.2">
      <c r="A426" s="4">
        <v>523</v>
      </c>
      <c r="B426" s="4">
        <v>4.7000000000000002E-3</v>
      </c>
      <c r="C426" s="4">
        <v>0</v>
      </c>
      <c r="D426" s="4">
        <f t="shared" si="6"/>
        <v>4.7000000000000002E-3</v>
      </c>
    </row>
    <row r="427" spans="1:4" x14ac:dyDescent="0.2">
      <c r="A427" s="4">
        <v>524</v>
      </c>
      <c r="B427" s="4">
        <v>4.7000000000000002E-3</v>
      </c>
      <c r="C427" s="4">
        <v>0</v>
      </c>
      <c r="D427" s="4">
        <f t="shared" si="6"/>
        <v>4.7000000000000002E-3</v>
      </c>
    </row>
    <row r="428" spans="1:4" x14ac:dyDescent="0.2">
      <c r="A428" s="4">
        <v>525</v>
      </c>
      <c r="B428" s="4">
        <v>4.7000000000000002E-3</v>
      </c>
      <c r="C428" s="4">
        <v>0</v>
      </c>
      <c r="D428" s="4">
        <f t="shared" si="6"/>
        <v>4.7000000000000002E-3</v>
      </c>
    </row>
    <row r="429" spans="1:4" x14ac:dyDescent="0.2">
      <c r="A429" s="4">
        <v>526</v>
      </c>
      <c r="B429" s="4">
        <v>4.5999999999999999E-3</v>
      </c>
      <c r="C429" s="4">
        <v>0</v>
      </c>
      <c r="D429" s="4">
        <f t="shared" si="6"/>
        <v>4.5999999999999999E-3</v>
      </c>
    </row>
    <row r="430" spans="1:4" x14ac:dyDescent="0.2">
      <c r="A430" s="4">
        <v>527</v>
      </c>
      <c r="B430" s="4">
        <v>4.5999999999999999E-3</v>
      </c>
      <c r="C430" s="4">
        <v>0</v>
      </c>
      <c r="D430" s="4">
        <f t="shared" si="6"/>
        <v>4.5999999999999999E-3</v>
      </c>
    </row>
    <row r="431" spans="1:4" x14ac:dyDescent="0.2">
      <c r="A431" s="4">
        <v>528</v>
      </c>
      <c r="B431" s="4">
        <v>4.5999999999999999E-3</v>
      </c>
      <c r="C431" s="4">
        <v>0</v>
      </c>
      <c r="D431" s="4">
        <f t="shared" si="6"/>
        <v>4.5999999999999999E-3</v>
      </c>
    </row>
    <row r="432" spans="1:4" x14ac:dyDescent="0.2">
      <c r="A432" s="4">
        <v>529</v>
      </c>
      <c r="B432" s="4">
        <v>4.5999999999999999E-3</v>
      </c>
      <c r="C432" s="4">
        <v>0</v>
      </c>
      <c r="D432" s="4">
        <f t="shared" si="6"/>
        <v>4.5999999999999999E-3</v>
      </c>
    </row>
    <row r="433" spans="1:4" x14ac:dyDescent="0.2">
      <c r="A433" s="4">
        <v>530</v>
      </c>
      <c r="B433" s="4">
        <v>4.5999999999999999E-3</v>
      </c>
      <c r="C433" s="4">
        <v>0</v>
      </c>
      <c r="D433" s="4">
        <f t="shared" si="6"/>
        <v>4.5999999999999999E-3</v>
      </c>
    </row>
    <row r="434" spans="1:4" x14ac:dyDescent="0.2">
      <c r="A434" s="4">
        <v>531</v>
      </c>
      <c r="B434" s="4">
        <v>4.5999999999999999E-3</v>
      </c>
      <c r="C434" s="4">
        <v>0</v>
      </c>
      <c r="D434" s="4">
        <f t="shared" si="6"/>
        <v>4.5999999999999999E-3</v>
      </c>
    </row>
    <row r="435" spans="1:4" x14ac:dyDescent="0.2">
      <c r="A435" s="4">
        <v>532</v>
      </c>
      <c r="B435" s="4">
        <v>4.5999999999999999E-3</v>
      </c>
      <c r="C435" s="4">
        <v>0</v>
      </c>
      <c r="D435" s="4">
        <f t="shared" si="6"/>
        <v>4.5999999999999999E-3</v>
      </c>
    </row>
    <row r="436" spans="1:4" x14ac:dyDescent="0.2">
      <c r="A436" s="4">
        <v>533</v>
      </c>
      <c r="B436" s="4">
        <v>4.5999999999999999E-3</v>
      </c>
      <c r="C436" s="4">
        <v>0</v>
      </c>
      <c r="D436" s="4">
        <f t="shared" si="6"/>
        <v>4.5999999999999999E-3</v>
      </c>
    </row>
    <row r="437" spans="1:4" x14ac:dyDescent="0.2">
      <c r="A437" s="4">
        <v>534</v>
      </c>
      <c r="B437" s="4">
        <v>4.4999999999999997E-3</v>
      </c>
      <c r="C437" s="4">
        <v>0</v>
      </c>
      <c r="D437" s="4">
        <f t="shared" si="6"/>
        <v>4.4999999999999997E-3</v>
      </c>
    </row>
    <row r="438" spans="1:4" x14ac:dyDescent="0.2">
      <c r="A438" s="4">
        <v>535</v>
      </c>
      <c r="B438" s="4">
        <v>4.4999999999999997E-3</v>
      </c>
      <c r="C438" s="4">
        <v>0</v>
      </c>
      <c r="D438" s="4">
        <f t="shared" si="6"/>
        <v>4.4999999999999997E-3</v>
      </c>
    </row>
    <row r="439" spans="1:4" x14ac:dyDescent="0.2">
      <c r="A439" s="4">
        <v>536</v>
      </c>
      <c r="B439" s="4">
        <v>4.4999999999999997E-3</v>
      </c>
      <c r="C439" s="4">
        <v>0</v>
      </c>
      <c r="D439" s="4">
        <f t="shared" si="6"/>
        <v>4.4999999999999997E-3</v>
      </c>
    </row>
    <row r="440" spans="1:4" x14ac:dyDescent="0.2">
      <c r="A440" s="4">
        <v>537</v>
      </c>
      <c r="B440" s="4">
        <v>4.4999999999999997E-3</v>
      </c>
      <c r="C440" s="4">
        <v>0</v>
      </c>
      <c r="D440" s="4">
        <f t="shared" si="6"/>
        <v>4.4999999999999997E-3</v>
      </c>
    </row>
    <row r="441" spans="1:4" x14ac:dyDescent="0.2">
      <c r="A441" s="4">
        <v>538</v>
      </c>
      <c r="B441" s="4">
        <v>4.4999999999999997E-3</v>
      </c>
      <c r="C441" s="4">
        <v>0</v>
      </c>
      <c r="D441" s="4">
        <f t="shared" si="6"/>
        <v>4.4999999999999997E-3</v>
      </c>
    </row>
    <row r="442" spans="1:4" x14ac:dyDescent="0.2">
      <c r="A442" s="4">
        <v>539</v>
      </c>
      <c r="B442" s="4">
        <v>4.4999999999999997E-3</v>
      </c>
      <c r="C442" s="4">
        <v>0</v>
      </c>
      <c r="D442" s="4">
        <f t="shared" si="6"/>
        <v>4.4999999999999997E-3</v>
      </c>
    </row>
    <row r="443" spans="1:4" x14ac:dyDescent="0.2">
      <c r="A443" s="4">
        <v>540</v>
      </c>
      <c r="B443" s="4">
        <v>4.4999999999999997E-3</v>
      </c>
      <c r="C443" s="4">
        <v>0</v>
      </c>
      <c r="D443" s="4">
        <f t="shared" si="6"/>
        <v>4.4999999999999997E-3</v>
      </c>
    </row>
    <row r="444" spans="1:4" x14ac:dyDescent="0.2">
      <c r="A444" s="4">
        <v>541</v>
      </c>
      <c r="B444" s="4">
        <v>4.4999999999999997E-3</v>
      </c>
      <c r="C444" s="4">
        <v>0</v>
      </c>
      <c r="D444" s="4">
        <f t="shared" si="6"/>
        <v>4.4999999999999997E-3</v>
      </c>
    </row>
    <row r="445" spans="1:4" x14ac:dyDescent="0.2">
      <c r="A445" s="4">
        <v>542</v>
      </c>
      <c r="B445" s="4">
        <v>4.4000000000000003E-3</v>
      </c>
      <c r="C445" s="4">
        <v>0</v>
      </c>
      <c r="D445" s="4">
        <f t="shared" si="6"/>
        <v>4.4000000000000003E-3</v>
      </c>
    </row>
    <row r="446" spans="1:4" x14ac:dyDescent="0.2">
      <c r="A446" s="4">
        <v>543</v>
      </c>
      <c r="B446" s="4">
        <v>4.4000000000000003E-3</v>
      </c>
      <c r="C446" s="4">
        <v>0</v>
      </c>
      <c r="D446" s="4">
        <f t="shared" si="6"/>
        <v>4.4000000000000003E-3</v>
      </c>
    </row>
    <row r="447" spans="1:4" x14ac:dyDescent="0.2">
      <c r="A447" s="4">
        <v>544</v>
      </c>
      <c r="B447" s="4">
        <v>4.4000000000000003E-3</v>
      </c>
      <c r="C447" s="4">
        <v>0</v>
      </c>
      <c r="D447" s="4">
        <f t="shared" si="6"/>
        <v>4.4000000000000003E-3</v>
      </c>
    </row>
    <row r="448" spans="1:4" x14ac:dyDescent="0.2">
      <c r="A448" s="4">
        <v>545</v>
      </c>
      <c r="B448" s="4">
        <v>4.4000000000000003E-3</v>
      </c>
      <c r="C448" s="4">
        <v>0</v>
      </c>
      <c r="D448" s="4">
        <f t="shared" si="6"/>
        <v>4.4000000000000003E-3</v>
      </c>
    </row>
    <row r="449" spans="1:4" x14ac:dyDescent="0.2">
      <c r="A449" s="4">
        <v>546</v>
      </c>
      <c r="B449" s="4">
        <v>4.4000000000000003E-3</v>
      </c>
      <c r="C449" s="4">
        <v>0</v>
      </c>
      <c r="D449" s="4">
        <f t="shared" si="6"/>
        <v>4.4000000000000003E-3</v>
      </c>
    </row>
    <row r="450" spans="1:4" x14ac:dyDescent="0.2">
      <c r="A450" s="4">
        <v>547</v>
      </c>
      <c r="B450" s="4">
        <v>4.4000000000000003E-3</v>
      </c>
      <c r="C450" s="4">
        <v>0</v>
      </c>
      <c r="D450" s="4">
        <f t="shared" si="6"/>
        <v>4.4000000000000003E-3</v>
      </c>
    </row>
    <row r="451" spans="1:4" x14ac:dyDescent="0.2">
      <c r="A451" s="4">
        <v>548</v>
      </c>
      <c r="B451" s="4">
        <v>4.4000000000000003E-3</v>
      </c>
      <c r="C451" s="4">
        <v>0</v>
      </c>
      <c r="D451" s="4">
        <f t="shared" ref="D451:D514" si="7">B451-C451</f>
        <v>4.4000000000000003E-3</v>
      </c>
    </row>
    <row r="452" spans="1:4" x14ac:dyDescent="0.2">
      <c r="A452" s="4">
        <v>549</v>
      </c>
      <c r="B452" s="4">
        <v>4.4000000000000003E-3</v>
      </c>
      <c r="C452" s="4">
        <v>0</v>
      </c>
      <c r="D452" s="4">
        <f t="shared" si="7"/>
        <v>4.4000000000000003E-3</v>
      </c>
    </row>
    <row r="453" spans="1:4" x14ac:dyDescent="0.2">
      <c r="A453" s="4">
        <v>550</v>
      </c>
      <c r="B453" s="4">
        <v>4.4000000000000003E-3</v>
      </c>
      <c r="C453" s="4">
        <v>0</v>
      </c>
      <c r="D453" s="4">
        <f t="shared" si="7"/>
        <v>4.4000000000000003E-3</v>
      </c>
    </row>
    <row r="454" spans="1:4" x14ac:dyDescent="0.2">
      <c r="A454" s="4">
        <v>551</v>
      </c>
      <c r="B454" s="4">
        <v>4.3E-3</v>
      </c>
      <c r="C454" s="4">
        <v>0</v>
      </c>
      <c r="D454" s="4">
        <f t="shared" si="7"/>
        <v>4.3E-3</v>
      </c>
    </row>
    <row r="455" spans="1:4" x14ac:dyDescent="0.2">
      <c r="A455" s="4">
        <v>552</v>
      </c>
      <c r="B455" s="4">
        <v>4.3E-3</v>
      </c>
      <c r="C455" s="4">
        <v>0</v>
      </c>
      <c r="D455" s="4">
        <f t="shared" si="7"/>
        <v>4.3E-3</v>
      </c>
    </row>
    <row r="456" spans="1:4" x14ac:dyDescent="0.2">
      <c r="A456" s="4">
        <v>553</v>
      </c>
      <c r="B456" s="4">
        <v>4.3E-3</v>
      </c>
      <c r="C456" s="4">
        <v>0</v>
      </c>
      <c r="D456" s="4">
        <f t="shared" si="7"/>
        <v>4.3E-3</v>
      </c>
    </row>
    <row r="457" spans="1:4" x14ac:dyDescent="0.2">
      <c r="A457" s="4">
        <v>554</v>
      </c>
      <c r="B457" s="4">
        <v>4.3E-3</v>
      </c>
      <c r="C457" s="4">
        <v>0</v>
      </c>
      <c r="D457" s="4">
        <f t="shared" si="7"/>
        <v>4.3E-3</v>
      </c>
    </row>
    <row r="458" spans="1:4" x14ac:dyDescent="0.2">
      <c r="A458" s="4">
        <v>555</v>
      </c>
      <c r="B458" s="4">
        <v>4.3E-3</v>
      </c>
      <c r="C458" s="4">
        <v>0</v>
      </c>
      <c r="D458" s="4">
        <f t="shared" si="7"/>
        <v>4.3E-3</v>
      </c>
    </row>
    <row r="459" spans="1:4" x14ac:dyDescent="0.2">
      <c r="A459" s="4">
        <v>556</v>
      </c>
      <c r="B459" s="4">
        <v>4.3E-3</v>
      </c>
      <c r="C459" s="4">
        <v>0</v>
      </c>
      <c r="D459" s="4">
        <f t="shared" si="7"/>
        <v>4.3E-3</v>
      </c>
    </row>
    <row r="460" spans="1:4" x14ac:dyDescent="0.2">
      <c r="A460" s="4">
        <v>557</v>
      </c>
      <c r="B460" s="4">
        <v>4.3E-3</v>
      </c>
      <c r="C460" s="4">
        <v>0</v>
      </c>
      <c r="D460" s="4">
        <f t="shared" si="7"/>
        <v>4.3E-3</v>
      </c>
    </row>
    <row r="461" spans="1:4" x14ac:dyDescent="0.2">
      <c r="A461" s="4">
        <v>558</v>
      </c>
      <c r="B461" s="4">
        <v>4.3E-3</v>
      </c>
      <c r="C461" s="4">
        <v>0</v>
      </c>
      <c r="D461" s="4">
        <f t="shared" si="7"/>
        <v>4.3E-3</v>
      </c>
    </row>
    <row r="462" spans="1:4" x14ac:dyDescent="0.2">
      <c r="A462" s="4">
        <v>559</v>
      </c>
      <c r="B462" s="4">
        <v>4.3E-3</v>
      </c>
      <c r="C462" s="4">
        <v>0</v>
      </c>
      <c r="D462" s="4">
        <f t="shared" si="7"/>
        <v>4.3E-3</v>
      </c>
    </row>
    <row r="463" spans="1:4" x14ac:dyDescent="0.2">
      <c r="A463" s="4">
        <v>560</v>
      </c>
      <c r="B463" s="4">
        <v>4.1999999999999997E-3</v>
      </c>
      <c r="C463" s="4">
        <v>0</v>
      </c>
      <c r="D463" s="4">
        <f t="shared" si="7"/>
        <v>4.1999999999999997E-3</v>
      </c>
    </row>
    <row r="464" spans="1:4" x14ac:dyDescent="0.2">
      <c r="A464" s="4">
        <v>561</v>
      </c>
      <c r="B464" s="4">
        <v>4.1999999999999997E-3</v>
      </c>
      <c r="C464" s="4">
        <v>0</v>
      </c>
      <c r="D464" s="4">
        <f t="shared" si="7"/>
        <v>4.1999999999999997E-3</v>
      </c>
    </row>
    <row r="465" spans="1:4" x14ac:dyDescent="0.2">
      <c r="A465" s="4">
        <v>562</v>
      </c>
      <c r="B465" s="4">
        <v>4.1999999999999997E-3</v>
      </c>
      <c r="C465" s="4">
        <v>0</v>
      </c>
      <c r="D465" s="4">
        <f t="shared" si="7"/>
        <v>4.1999999999999997E-3</v>
      </c>
    </row>
    <row r="466" spans="1:4" x14ac:dyDescent="0.2">
      <c r="A466" s="4">
        <v>563</v>
      </c>
      <c r="B466" s="4">
        <v>4.1999999999999997E-3</v>
      </c>
      <c r="C466" s="4">
        <v>0</v>
      </c>
      <c r="D466" s="4">
        <f t="shared" si="7"/>
        <v>4.1999999999999997E-3</v>
      </c>
    </row>
    <row r="467" spans="1:4" x14ac:dyDescent="0.2">
      <c r="A467" s="4">
        <v>564</v>
      </c>
      <c r="B467" s="4">
        <v>4.1999999999999997E-3</v>
      </c>
      <c r="C467" s="4">
        <v>0</v>
      </c>
      <c r="D467" s="4">
        <f t="shared" si="7"/>
        <v>4.1999999999999997E-3</v>
      </c>
    </row>
    <row r="468" spans="1:4" x14ac:dyDescent="0.2">
      <c r="A468" s="4">
        <v>565</v>
      </c>
      <c r="B468" s="4">
        <v>4.1999999999999997E-3</v>
      </c>
      <c r="C468" s="4">
        <v>0</v>
      </c>
      <c r="D468" s="4">
        <f t="shared" si="7"/>
        <v>4.1999999999999997E-3</v>
      </c>
    </row>
    <row r="469" spans="1:4" x14ac:dyDescent="0.2">
      <c r="A469" s="4">
        <v>566</v>
      </c>
      <c r="B469" s="4">
        <v>4.1999999999999997E-3</v>
      </c>
      <c r="C469" s="4">
        <v>0</v>
      </c>
      <c r="D469" s="4">
        <f t="shared" si="7"/>
        <v>4.1999999999999997E-3</v>
      </c>
    </row>
    <row r="470" spans="1:4" x14ac:dyDescent="0.2">
      <c r="A470" s="4">
        <v>567</v>
      </c>
      <c r="B470" s="4">
        <v>4.1999999999999997E-3</v>
      </c>
      <c r="C470" s="4">
        <v>0</v>
      </c>
      <c r="D470" s="4">
        <f t="shared" si="7"/>
        <v>4.1999999999999997E-3</v>
      </c>
    </row>
    <row r="471" spans="1:4" x14ac:dyDescent="0.2">
      <c r="A471" s="4">
        <v>568</v>
      </c>
      <c r="B471" s="4">
        <v>4.1999999999999997E-3</v>
      </c>
      <c r="C471" s="4">
        <v>0</v>
      </c>
      <c r="D471" s="4">
        <f t="shared" si="7"/>
        <v>4.1999999999999997E-3</v>
      </c>
    </row>
    <row r="472" spans="1:4" x14ac:dyDescent="0.2">
      <c r="A472" s="4">
        <v>569</v>
      </c>
      <c r="B472" s="4">
        <v>4.1999999999999997E-3</v>
      </c>
      <c r="C472" s="4">
        <v>0</v>
      </c>
      <c r="D472" s="4">
        <f t="shared" si="7"/>
        <v>4.1999999999999997E-3</v>
      </c>
    </row>
    <row r="473" spans="1:4" x14ac:dyDescent="0.2">
      <c r="A473" s="4">
        <v>570</v>
      </c>
      <c r="B473" s="4">
        <v>4.1999999999999997E-3</v>
      </c>
      <c r="C473" s="4">
        <v>0</v>
      </c>
      <c r="D473" s="4">
        <f t="shared" si="7"/>
        <v>4.1999999999999997E-3</v>
      </c>
    </row>
    <row r="474" spans="1:4" x14ac:dyDescent="0.2">
      <c r="A474" s="4">
        <v>571</v>
      </c>
      <c r="B474" s="4">
        <v>4.1999999999999997E-3</v>
      </c>
      <c r="C474" s="4">
        <v>0</v>
      </c>
      <c r="D474" s="4">
        <f t="shared" si="7"/>
        <v>4.1999999999999997E-3</v>
      </c>
    </row>
    <row r="475" spans="1:4" x14ac:dyDescent="0.2">
      <c r="A475" s="4">
        <v>572</v>
      </c>
      <c r="B475" s="4">
        <v>4.1000000000000003E-3</v>
      </c>
      <c r="C475" s="4">
        <v>0</v>
      </c>
      <c r="D475" s="4">
        <f t="shared" si="7"/>
        <v>4.1000000000000003E-3</v>
      </c>
    </row>
    <row r="476" spans="1:4" x14ac:dyDescent="0.2">
      <c r="A476" s="4">
        <v>573</v>
      </c>
      <c r="B476" s="4">
        <v>4.1000000000000003E-3</v>
      </c>
      <c r="C476" s="4">
        <v>0</v>
      </c>
      <c r="D476" s="4">
        <f t="shared" si="7"/>
        <v>4.1000000000000003E-3</v>
      </c>
    </row>
    <row r="477" spans="1:4" x14ac:dyDescent="0.2">
      <c r="A477" s="4">
        <v>574</v>
      </c>
      <c r="B477" s="4">
        <v>4.1000000000000003E-3</v>
      </c>
      <c r="C477" s="4">
        <v>0</v>
      </c>
      <c r="D477" s="4">
        <f t="shared" si="7"/>
        <v>4.1000000000000003E-3</v>
      </c>
    </row>
    <row r="478" spans="1:4" x14ac:dyDescent="0.2">
      <c r="A478" s="4">
        <v>575</v>
      </c>
      <c r="B478" s="4">
        <v>4.1000000000000003E-3</v>
      </c>
      <c r="C478" s="4">
        <v>0</v>
      </c>
      <c r="D478" s="4">
        <f t="shared" si="7"/>
        <v>4.1000000000000003E-3</v>
      </c>
    </row>
    <row r="479" spans="1:4" x14ac:dyDescent="0.2">
      <c r="A479" s="4">
        <v>576</v>
      </c>
      <c r="B479" s="4">
        <v>4.1000000000000003E-3</v>
      </c>
      <c r="C479" s="4">
        <v>0</v>
      </c>
      <c r="D479" s="4">
        <f t="shared" si="7"/>
        <v>4.1000000000000003E-3</v>
      </c>
    </row>
    <row r="480" spans="1:4" x14ac:dyDescent="0.2">
      <c r="A480" s="4">
        <v>577</v>
      </c>
      <c r="B480" s="4">
        <v>4.1000000000000003E-3</v>
      </c>
      <c r="C480" s="4">
        <v>0</v>
      </c>
      <c r="D480" s="4">
        <f t="shared" si="7"/>
        <v>4.1000000000000003E-3</v>
      </c>
    </row>
    <row r="481" spans="1:4" x14ac:dyDescent="0.2">
      <c r="A481" s="4">
        <v>578</v>
      </c>
      <c r="B481" s="4">
        <v>4.1000000000000003E-3</v>
      </c>
      <c r="C481" s="4">
        <v>0</v>
      </c>
      <c r="D481" s="4">
        <f t="shared" si="7"/>
        <v>4.1000000000000003E-3</v>
      </c>
    </row>
    <row r="482" spans="1:4" x14ac:dyDescent="0.2">
      <c r="A482" s="4">
        <v>579</v>
      </c>
      <c r="B482" s="4">
        <v>4.1000000000000003E-3</v>
      </c>
      <c r="C482" s="4">
        <v>0</v>
      </c>
      <c r="D482" s="4">
        <f t="shared" si="7"/>
        <v>4.1000000000000003E-3</v>
      </c>
    </row>
    <row r="483" spans="1:4" x14ac:dyDescent="0.2">
      <c r="A483" s="4">
        <v>580</v>
      </c>
      <c r="B483" s="4">
        <v>4.1000000000000003E-3</v>
      </c>
      <c r="C483" s="4">
        <v>0</v>
      </c>
      <c r="D483" s="4">
        <f t="shared" si="7"/>
        <v>4.1000000000000003E-3</v>
      </c>
    </row>
    <row r="484" spans="1:4" x14ac:dyDescent="0.2">
      <c r="A484" s="4">
        <v>581</v>
      </c>
      <c r="B484" s="4">
        <v>4.1000000000000003E-3</v>
      </c>
      <c r="C484" s="4">
        <v>0</v>
      </c>
      <c r="D484" s="4">
        <f t="shared" si="7"/>
        <v>4.1000000000000003E-3</v>
      </c>
    </row>
    <row r="485" spans="1:4" x14ac:dyDescent="0.2">
      <c r="A485" s="4">
        <v>582</v>
      </c>
      <c r="B485" s="4">
        <v>4.1000000000000003E-3</v>
      </c>
      <c r="C485" s="4">
        <v>0</v>
      </c>
      <c r="D485" s="4">
        <f t="shared" si="7"/>
        <v>4.1000000000000003E-3</v>
      </c>
    </row>
    <row r="486" spans="1:4" x14ac:dyDescent="0.2">
      <c r="A486" s="4">
        <v>583</v>
      </c>
      <c r="B486" s="4">
        <v>4.1000000000000003E-3</v>
      </c>
      <c r="C486" s="4">
        <v>0</v>
      </c>
      <c r="D486" s="4">
        <f t="shared" si="7"/>
        <v>4.1000000000000003E-3</v>
      </c>
    </row>
    <row r="487" spans="1:4" x14ac:dyDescent="0.2">
      <c r="A487" s="4">
        <v>584</v>
      </c>
      <c r="B487" s="4">
        <v>4.1000000000000003E-3</v>
      </c>
      <c r="C487" s="4">
        <v>0</v>
      </c>
      <c r="D487" s="4">
        <f t="shared" si="7"/>
        <v>4.1000000000000003E-3</v>
      </c>
    </row>
    <row r="488" spans="1:4" x14ac:dyDescent="0.2">
      <c r="A488" s="4">
        <v>585</v>
      </c>
      <c r="B488" s="4">
        <v>4.0000000000000001E-3</v>
      </c>
      <c r="C488" s="4">
        <v>0</v>
      </c>
      <c r="D488" s="4">
        <f t="shared" si="7"/>
        <v>4.0000000000000001E-3</v>
      </c>
    </row>
    <row r="489" spans="1:4" x14ac:dyDescent="0.2">
      <c r="A489" s="4">
        <v>586</v>
      </c>
      <c r="B489" s="4">
        <v>4.0000000000000001E-3</v>
      </c>
      <c r="C489" s="4">
        <v>0</v>
      </c>
      <c r="D489" s="4">
        <f t="shared" si="7"/>
        <v>4.0000000000000001E-3</v>
      </c>
    </row>
    <row r="490" spans="1:4" x14ac:dyDescent="0.2">
      <c r="A490" s="4">
        <v>587</v>
      </c>
      <c r="B490" s="4">
        <v>4.0000000000000001E-3</v>
      </c>
      <c r="C490" s="4">
        <v>0</v>
      </c>
      <c r="D490" s="4">
        <f t="shared" si="7"/>
        <v>4.0000000000000001E-3</v>
      </c>
    </row>
    <row r="491" spans="1:4" x14ac:dyDescent="0.2">
      <c r="A491" s="4">
        <v>588</v>
      </c>
      <c r="B491" s="4">
        <v>4.0000000000000001E-3</v>
      </c>
      <c r="C491" s="4">
        <v>0</v>
      </c>
      <c r="D491" s="4">
        <f t="shared" si="7"/>
        <v>4.0000000000000001E-3</v>
      </c>
    </row>
    <row r="492" spans="1:4" x14ac:dyDescent="0.2">
      <c r="A492" s="4">
        <v>589</v>
      </c>
      <c r="B492" s="4">
        <v>4.0000000000000001E-3</v>
      </c>
      <c r="C492" s="4">
        <v>0</v>
      </c>
      <c r="D492" s="4">
        <f t="shared" si="7"/>
        <v>4.0000000000000001E-3</v>
      </c>
    </row>
    <row r="493" spans="1:4" x14ac:dyDescent="0.2">
      <c r="A493" s="4">
        <v>590</v>
      </c>
      <c r="B493" s="4">
        <v>4.0000000000000001E-3</v>
      </c>
      <c r="C493" s="4">
        <v>0</v>
      </c>
      <c r="D493" s="4">
        <f t="shared" si="7"/>
        <v>4.0000000000000001E-3</v>
      </c>
    </row>
    <row r="494" spans="1:4" x14ac:dyDescent="0.2">
      <c r="A494" s="4">
        <v>591</v>
      </c>
      <c r="B494" s="4">
        <v>4.0000000000000001E-3</v>
      </c>
      <c r="C494" s="4">
        <v>0</v>
      </c>
      <c r="D494" s="4">
        <f t="shared" si="7"/>
        <v>4.0000000000000001E-3</v>
      </c>
    </row>
    <row r="495" spans="1:4" x14ac:dyDescent="0.2">
      <c r="A495" s="4">
        <v>592</v>
      </c>
      <c r="B495" s="4">
        <v>4.0000000000000001E-3</v>
      </c>
      <c r="C495" s="4">
        <v>0</v>
      </c>
      <c r="D495" s="4">
        <f t="shared" si="7"/>
        <v>4.0000000000000001E-3</v>
      </c>
    </row>
    <row r="496" spans="1:4" x14ac:dyDescent="0.2">
      <c r="A496" s="4">
        <v>593</v>
      </c>
      <c r="B496" s="4">
        <v>4.0000000000000001E-3</v>
      </c>
      <c r="C496" s="4">
        <v>0</v>
      </c>
      <c r="D496" s="4">
        <f t="shared" si="7"/>
        <v>4.0000000000000001E-3</v>
      </c>
    </row>
    <row r="497" spans="1:4" x14ac:dyDescent="0.2">
      <c r="A497" s="4">
        <v>594</v>
      </c>
      <c r="B497" s="4">
        <v>4.0000000000000001E-3</v>
      </c>
      <c r="C497" s="4">
        <v>0</v>
      </c>
      <c r="D497" s="4">
        <f t="shared" si="7"/>
        <v>4.0000000000000001E-3</v>
      </c>
    </row>
    <row r="498" spans="1:4" x14ac:dyDescent="0.2">
      <c r="A498" s="4">
        <v>595</v>
      </c>
      <c r="B498" s="4">
        <v>4.0000000000000001E-3</v>
      </c>
      <c r="C498" s="4">
        <v>0</v>
      </c>
      <c r="D498" s="4">
        <f t="shared" si="7"/>
        <v>4.0000000000000001E-3</v>
      </c>
    </row>
    <row r="499" spans="1:4" x14ac:dyDescent="0.2">
      <c r="A499" s="4">
        <v>596</v>
      </c>
      <c r="B499" s="4">
        <v>4.0000000000000001E-3</v>
      </c>
      <c r="C499" s="4">
        <v>0</v>
      </c>
      <c r="D499" s="4">
        <f t="shared" si="7"/>
        <v>4.0000000000000001E-3</v>
      </c>
    </row>
    <row r="500" spans="1:4" x14ac:dyDescent="0.2">
      <c r="A500" s="4">
        <v>597</v>
      </c>
      <c r="B500" s="4">
        <v>4.0000000000000001E-3</v>
      </c>
      <c r="C500" s="4">
        <v>0</v>
      </c>
      <c r="D500" s="4">
        <f t="shared" si="7"/>
        <v>4.0000000000000001E-3</v>
      </c>
    </row>
    <row r="501" spans="1:4" x14ac:dyDescent="0.2">
      <c r="A501" s="4">
        <v>598</v>
      </c>
      <c r="B501" s="4">
        <v>4.0000000000000001E-3</v>
      </c>
      <c r="C501" s="4">
        <v>0</v>
      </c>
      <c r="D501" s="4">
        <f t="shared" si="7"/>
        <v>4.0000000000000001E-3</v>
      </c>
    </row>
    <row r="502" spans="1:4" x14ac:dyDescent="0.2">
      <c r="A502" s="4">
        <v>599</v>
      </c>
      <c r="B502" s="4">
        <v>3.8999999999999998E-3</v>
      </c>
      <c r="C502" s="4">
        <v>0</v>
      </c>
      <c r="D502" s="4">
        <f t="shared" si="7"/>
        <v>3.8999999999999998E-3</v>
      </c>
    </row>
    <row r="503" spans="1:4" x14ac:dyDescent="0.2">
      <c r="A503" s="4">
        <v>600</v>
      </c>
      <c r="B503" s="4">
        <v>3.8999999999999998E-3</v>
      </c>
      <c r="C503" s="4">
        <v>0</v>
      </c>
      <c r="D503" s="4">
        <f t="shared" si="7"/>
        <v>3.8999999999999998E-3</v>
      </c>
    </row>
    <row r="504" spans="1:4" x14ac:dyDescent="0.2">
      <c r="A504" s="4">
        <v>601</v>
      </c>
      <c r="B504" s="4">
        <v>3.8999999999999998E-3</v>
      </c>
      <c r="C504" s="4">
        <v>0</v>
      </c>
      <c r="D504" s="4">
        <f t="shared" si="7"/>
        <v>3.8999999999999998E-3</v>
      </c>
    </row>
    <row r="505" spans="1:4" x14ac:dyDescent="0.2">
      <c r="A505" s="4">
        <v>602</v>
      </c>
      <c r="B505" s="4">
        <v>3.8999999999999998E-3</v>
      </c>
      <c r="C505" s="4">
        <v>0</v>
      </c>
      <c r="D505" s="4">
        <f t="shared" si="7"/>
        <v>3.8999999999999998E-3</v>
      </c>
    </row>
    <row r="506" spans="1:4" x14ac:dyDescent="0.2">
      <c r="A506" s="4">
        <v>603</v>
      </c>
      <c r="B506" s="4">
        <v>3.8999999999999998E-3</v>
      </c>
      <c r="C506" s="4">
        <v>0</v>
      </c>
      <c r="D506" s="4">
        <f t="shared" si="7"/>
        <v>3.8999999999999998E-3</v>
      </c>
    </row>
    <row r="507" spans="1:4" x14ac:dyDescent="0.2">
      <c r="A507" s="4">
        <v>604</v>
      </c>
      <c r="B507" s="4">
        <v>3.8999999999999998E-3</v>
      </c>
      <c r="C507" s="4">
        <v>0</v>
      </c>
      <c r="D507" s="4">
        <f t="shared" si="7"/>
        <v>3.8999999999999998E-3</v>
      </c>
    </row>
    <row r="508" spans="1:4" x14ac:dyDescent="0.2">
      <c r="A508" s="4">
        <v>605</v>
      </c>
      <c r="B508" s="4">
        <v>3.8999999999999998E-3</v>
      </c>
      <c r="C508" s="4">
        <v>0</v>
      </c>
      <c r="D508" s="4">
        <f t="shared" si="7"/>
        <v>3.8999999999999998E-3</v>
      </c>
    </row>
    <row r="509" spans="1:4" x14ac:dyDescent="0.2">
      <c r="A509" s="4">
        <v>606</v>
      </c>
      <c r="B509" s="4">
        <v>3.8999999999999998E-3</v>
      </c>
      <c r="C509" s="4">
        <v>0</v>
      </c>
      <c r="D509" s="4">
        <f t="shared" si="7"/>
        <v>3.8999999999999998E-3</v>
      </c>
    </row>
    <row r="510" spans="1:4" x14ac:dyDescent="0.2">
      <c r="A510" s="4">
        <v>607</v>
      </c>
      <c r="B510" s="4">
        <v>3.8999999999999998E-3</v>
      </c>
      <c r="C510" s="4">
        <v>0</v>
      </c>
      <c r="D510" s="4">
        <f t="shared" si="7"/>
        <v>3.8999999999999998E-3</v>
      </c>
    </row>
    <row r="511" spans="1:4" x14ac:dyDescent="0.2">
      <c r="A511" s="4">
        <v>608</v>
      </c>
      <c r="B511" s="4">
        <v>3.8999999999999998E-3</v>
      </c>
      <c r="C511" s="4">
        <v>0</v>
      </c>
      <c r="D511" s="4">
        <f t="shared" si="7"/>
        <v>3.8999999999999998E-3</v>
      </c>
    </row>
    <row r="512" spans="1:4" x14ac:dyDescent="0.2">
      <c r="A512" s="4">
        <v>609</v>
      </c>
      <c r="B512" s="4">
        <v>3.8999999999999998E-3</v>
      </c>
      <c r="C512" s="4">
        <v>0</v>
      </c>
      <c r="D512" s="4">
        <f t="shared" si="7"/>
        <v>3.8999999999999998E-3</v>
      </c>
    </row>
    <row r="513" spans="1:4" x14ac:dyDescent="0.2">
      <c r="A513" s="4">
        <v>610</v>
      </c>
      <c r="B513" s="4">
        <v>3.8999999999999998E-3</v>
      </c>
      <c r="C513" s="4">
        <v>0</v>
      </c>
      <c r="D513" s="4">
        <f t="shared" si="7"/>
        <v>3.8999999999999998E-3</v>
      </c>
    </row>
    <row r="514" spans="1:4" x14ac:dyDescent="0.2">
      <c r="A514" s="4">
        <v>611</v>
      </c>
      <c r="B514" s="4">
        <v>3.8999999999999998E-3</v>
      </c>
      <c r="C514" s="4">
        <v>0</v>
      </c>
      <c r="D514" s="4">
        <f t="shared" si="7"/>
        <v>3.8999999999999998E-3</v>
      </c>
    </row>
    <row r="515" spans="1:4" x14ac:dyDescent="0.2">
      <c r="A515" s="4">
        <v>612</v>
      </c>
      <c r="B515" s="4">
        <v>3.8999999999999998E-3</v>
      </c>
      <c r="C515" s="4">
        <v>0</v>
      </c>
      <c r="D515" s="4">
        <f t="shared" ref="D515:D578" si="8">B515-C515</f>
        <v>3.8999999999999998E-3</v>
      </c>
    </row>
    <row r="516" spans="1:4" x14ac:dyDescent="0.2">
      <c r="A516" s="4">
        <v>613</v>
      </c>
      <c r="B516" s="4">
        <v>3.8999999999999998E-3</v>
      </c>
      <c r="C516" s="4">
        <v>0</v>
      </c>
      <c r="D516" s="4">
        <f t="shared" si="8"/>
        <v>3.8999999999999998E-3</v>
      </c>
    </row>
    <row r="517" spans="1:4" x14ac:dyDescent="0.2">
      <c r="A517" s="4">
        <v>614</v>
      </c>
      <c r="B517" s="4">
        <v>3.8E-3</v>
      </c>
      <c r="C517" s="4">
        <v>0</v>
      </c>
      <c r="D517" s="4">
        <f t="shared" si="8"/>
        <v>3.8E-3</v>
      </c>
    </row>
    <row r="518" spans="1:4" x14ac:dyDescent="0.2">
      <c r="A518" s="4">
        <v>615</v>
      </c>
      <c r="B518" s="4">
        <v>3.8E-3</v>
      </c>
      <c r="C518" s="4">
        <v>0</v>
      </c>
      <c r="D518" s="4">
        <f t="shared" si="8"/>
        <v>3.8E-3</v>
      </c>
    </row>
    <row r="519" spans="1:4" x14ac:dyDescent="0.2">
      <c r="A519" s="4">
        <v>616</v>
      </c>
      <c r="B519" s="4">
        <v>3.8E-3</v>
      </c>
      <c r="C519" s="4">
        <v>0</v>
      </c>
      <c r="D519" s="4">
        <f t="shared" si="8"/>
        <v>3.8E-3</v>
      </c>
    </row>
    <row r="520" spans="1:4" x14ac:dyDescent="0.2">
      <c r="A520" s="4">
        <v>617</v>
      </c>
      <c r="B520" s="4">
        <v>3.8E-3</v>
      </c>
      <c r="C520" s="4">
        <v>0</v>
      </c>
      <c r="D520" s="4">
        <f t="shared" si="8"/>
        <v>3.8E-3</v>
      </c>
    </row>
    <row r="521" spans="1:4" x14ac:dyDescent="0.2">
      <c r="A521" s="4">
        <v>618</v>
      </c>
      <c r="B521" s="4">
        <v>3.8E-3</v>
      </c>
      <c r="C521" s="4">
        <v>0</v>
      </c>
      <c r="D521" s="4">
        <f t="shared" si="8"/>
        <v>3.8E-3</v>
      </c>
    </row>
    <row r="522" spans="1:4" x14ac:dyDescent="0.2">
      <c r="A522" s="4">
        <v>619</v>
      </c>
      <c r="B522" s="4">
        <v>3.8E-3</v>
      </c>
      <c r="C522" s="4">
        <v>0</v>
      </c>
      <c r="D522" s="4">
        <f t="shared" si="8"/>
        <v>3.8E-3</v>
      </c>
    </row>
    <row r="523" spans="1:4" x14ac:dyDescent="0.2">
      <c r="A523" s="4">
        <v>620</v>
      </c>
      <c r="B523" s="4">
        <v>3.8E-3</v>
      </c>
      <c r="C523" s="4">
        <v>0</v>
      </c>
      <c r="D523" s="4">
        <f t="shared" si="8"/>
        <v>3.8E-3</v>
      </c>
    </row>
    <row r="524" spans="1:4" x14ac:dyDescent="0.2">
      <c r="A524" s="4">
        <v>621</v>
      </c>
      <c r="B524" s="4">
        <v>3.8E-3</v>
      </c>
      <c r="C524" s="4">
        <v>0</v>
      </c>
      <c r="D524" s="4">
        <f t="shared" si="8"/>
        <v>3.8E-3</v>
      </c>
    </row>
    <row r="525" spans="1:4" x14ac:dyDescent="0.2">
      <c r="A525" s="4">
        <v>622</v>
      </c>
      <c r="B525" s="4">
        <v>3.8E-3</v>
      </c>
      <c r="C525" s="4">
        <v>0</v>
      </c>
      <c r="D525" s="4">
        <f t="shared" si="8"/>
        <v>3.8E-3</v>
      </c>
    </row>
    <row r="526" spans="1:4" x14ac:dyDescent="0.2">
      <c r="A526" s="4">
        <v>623</v>
      </c>
      <c r="B526" s="4">
        <v>3.8E-3</v>
      </c>
      <c r="C526" s="4">
        <v>0</v>
      </c>
      <c r="D526" s="4">
        <f t="shared" si="8"/>
        <v>3.8E-3</v>
      </c>
    </row>
    <row r="527" spans="1:4" x14ac:dyDescent="0.2">
      <c r="A527" s="4">
        <v>624</v>
      </c>
      <c r="B527" s="4">
        <v>3.8E-3</v>
      </c>
      <c r="C527" s="4">
        <v>0</v>
      </c>
      <c r="D527" s="4">
        <f t="shared" si="8"/>
        <v>3.8E-3</v>
      </c>
    </row>
    <row r="528" spans="1:4" x14ac:dyDescent="0.2">
      <c r="A528" s="4">
        <v>625</v>
      </c>
      <c r="B528" s="4">
        <v>3.8E-3</v>
      </c>
      <c r="C528" s="4">
        <v>0</v>
      </c>
      <c r="D528" s="4">
        <f t="shared" si="8"/>
        <v>3.8E-3</v>
      </c>
    </row>
    <row r="529" spans="1:4" x14ac:dyDescent="0.2">
      <c r="A529" s="4">
        <v>626</v>
      </c>
      <c r="B529" s="4">
        <v>3.8E-3</v>
      </c>
      <c r="C529" s="4">
        <v>0</v>
      </c>
      <c r="D529" s="4">
        <f t="shared" si="8"/>
        <v>3.8E-3</v>
      </c>
    </row>
    <row r="530" spans="1:4" x14ac:dyDescent="0.2">
      <c r="A530" s="4">
        <v>627</v>
      </c>
      <c r="B530" s="4">
        <v>3.8E-3</v>
      </c>
      <c r="C530" s="4">
        <v>0</v>
      </c>
      <c r="D530" s="4">
        <f t="shared" si="8"/>
        <v>3.8E-3</v>
      </c>
    </row>
    <row r="531" spans="1:4" x14ac:dyDescent="0.2">
      <c r="A531" s="4">
        <v>628</v>
      </c>
      <c r="B531" s="4">
        <v>3.8E-3</v>
      </c>
      <c r="C531" s="4">
        <v>0</v>
      </c>
      <c r="D531" s="4">
        <f t="shared" si="8"/>
        <v>3.8E-3</v>
      </c>
    </row>
    <row r="532" spans="1:4" x14ac:dyDescent="0.2">
      <c r="A532" s="4">
        <v>629</v>
      </c>
      <c r="B532" s="4">
        <v>3.8E-3</v>
      </c>
      <c r="C532" s="4">
        <v>0</v>
      </c>
      <c r="D532" s="4">
        <f t="shared" si="8"/>
        <v>3.8E-3</v>
      </c>
    </row>
    <row r="533" spans="1:4" x14ac:dyDescent="0.2">
      <c r="A533" s="4">
        <v>630</v>
      </c>
      <c r="B533" s="4">
        <v>3.8E-3</v>
      </c>
      <c r="C533" s="4">
        <v>0</v>
      </c>
      <c r="D533" s="4">
        <f t="shared" si="8"/>
        <v>3.8E-3</v>
      </c>
    </row>
    <row r="534" spans="1:4" x14ac:dyDescent="0.2">
      <c r="A534" s="4">
        <v>631</v>
      </c>
      <c r="B534" s="4">
        <v>3.8E-3</v>
      </c>
      <c r="C534" s="4">
        <v>0</v>
      </c>
      <c r="D534" s="4">
        <f t="shared" si="8"/>
        <v>3.8E-3</v>
      </c>
    </row>
    <row r="535" spans="1:4" x14ac:dyDescent="0.2">
      <c r="A535" s="4">
        <v>632</v>
      </c>
      <c r="B535" s="4">
        <v>3.8E-3</v>
      </c>
      <c r="C535" s="4">
        <v>0</v>
      </c>
      <c r="D535" s="4">
        <f t="shared" si="8"/>
        <v>3.8E-3</v>
      </c>
    </row>
    <row r="536" spans="1:4" x14ac:dyDescent="0.2">
      <c r="A536" s="4">
        <v>633</v>
      </c>
      <c r="B536" s="4">
        <v>3.8E-3</v>
      </c>
      <c r="C536" s="4">
        <v>0</v>
      </c>
      <c r="D536" s="4">
        <f t="shared" si="8"/>
        <v>3.8E-3</v>
      </c>
    </row>
    <row r="537" spans="1:4" x14ac:dyDescent="0.2">
      <c r="A537" s="4">
        <v>634</v>
      </c>
      <c r="B537" s="4">
        <v>3.8E-3</v>
      </c>
      <c r="C537" s="4">
        <v>0</v>
      </c>
      <c r="D537" s="4">
        <f t="shared" si="8"/>
        <v>3.8E-3</v>
      </c>
    </row>
    <row r="538" spans="1:4" x14ac:dyDescent="0.2">
      <c r="A538" s="4">
        <v>635</v>
      </c>
      <c r="B538" s="4">
        <v>3.8E-3</v>
      </c>
      <c r="C538" s="4">
        <v>0</v>
      </c>
      <c r="D538" s="4">
        <f t="shared" si="8"/>
        <v>3.8E-3</v>
      </c>
    </row>
    <row r="539" spans="1:4" x14ac:dyDescent="0.2">
      <c r="A539" s="4">
        <v>636</v>
      </c>
      <c r="B539" s="4">
        <v>3.8E-3</v>
      </c>
      <c r="C539" s="4">
        <v>0</v>
      </c>
      <c r="D539" s="4">
        <f t="shared" si="8"/>
        <v>3.8E-3</v>
      </c>
    </row>
    <row r="540" spans="1:4" x14ac:dyDescent="0.2">
      <c r="A540" s="4">
        <v>637</v>
      </c>
      <c r="B540" s="4">
        <v>3.8E-3</v>
      </c>
      <c r="C540" s="4">
        <v>0</v>
      </c>
      <c r="D540" s="4">
        <f t="shared" si="8"/>
        <v>3.8E-3</v>
      </c>
    </row>
    <row r="541" spans="1:4" x14ac:dyDescent="0.2">
      <c r="A541" s="4">
        <v>638</v>
      </c>
      <c r="B541" s="4">
        <v>3.8E-3</v>
      </c>
      <c r="C541" s="4">
        <v>0</v>
      </c>
      <c r="D541" s="4">
        <f t="shared" si="8"/>
        <v>3.8E-3</v>
      </c>
    </row>
    <row r="542" spans="1:4" x14ac:dyDescent="0.2">
      <c r="A542" s="4">
        <v>639</v>
      </c>
      <c r="B542" s="4">
        <v>3.8E-3</v>
      </c>
      <c r="C542" s="4">
        <v>0</v>
      </c>
      <c r="D542" s="4">
        <f t="shared" si="8"/>
        <v>3.8E-3</v>
      </c>
    </row>
    <row r="543" spans="1:4" x14ac:dyDescent="0.2">
      <c r="A543" s="4">
        <v>640</v>
      </c>
      <c r="B543" s="4">
        <v>3.8E-3</v>
      </c>
      <c r="C543" s="4">
        <v>0</v>
      </c>
      <c r="D543" s="4">
        <f t="shared" si="8"/>
        <v>3.8E-3</v>
      </c>
    </row>
    <row r="544" spans="1:4" x14ac:dyDescent="0.2">
      <c r="A544" s="4">
        <v>641</v>
      </c>
      <c r="B544" s="4">
        <v>3.8E-3</v>
      </c>
      <c r="C544" s="4">
        <v>0</v>
      </c>
      <c r="D544" s="4">
        <f t="shared" si="8"/>
        <v>3.8E-3</v>
      </c>
    </row>
    <row r="545" spans="1:4" x14ac:dyDescent="0.2">
      <c r="A545" s="4">
        <v>642</v>
      </c>
      <c r="B545" s="4">
        <v>3.8E-3</v>
      </c>
      <c r="C545" s="4">
        <v>0</v>
      </c>
      <c r="D545" s="4">
        <f t="shared" si="8"/>
        <v>3.8E-3</v>
      </c>
    </row>
    <row r="546" spans="1:4" x14ac:dyDescent="0.2">
      <c r="A546" s="4">
        <v>643</v>
      </c>
      <c r="B546" s="4">
        <v>3.7000000000000002E-3</v>
      </c>
      <c r="C546" s="4">
        <v>0</v>
      </c>
      <c r="D546" s="4">
        <f t="shared" si="8"/>
        <v>3.7000000000000002E-3</v>
      </c>
    </row>
    <row r="547" spans="1:4" x14ac:dyDescent="0.2">
      <c r="A547" s="4">
        <v>644</v>
      </c>
      <c r="B547" s="4">
        <v>3.7000000000000002E-3</v>
      </c>
      <c r="C547" s="4">
        <v>0</v>
      </c>
      <c r="D547" s="4">
        <f t="shared" si="8"/>
        <v>3.7000000000000002E-3</v>
      </c>
    </row>
    <row r="548" spans="1:4" x14ac:dyDescent="0.2">
      <c r="A548" s="4">
        <v>645</v>
      </c>
      <c r="B548" s="4">
        <v>3.7000000000000002E-3</v>
      </c>
      <c r="C548" s="4">
        <v>0</v>
      </c>
      <c r="D548" s="4">
        <f t="shared" si="8"/>
        <v>3.7000000000000002E-3</v>
      </c>
    </row>
    <row r="549" spans="1:4" x14ac:dyDescent="0.2">
      <c r="A549" s="4">
        <v>646</v>
      </c>
      <c r="B549" s="4">
        <v>3.7000000000000002E-3</v>
      </c>
      <c r="C549" s="4">
        <v>0</v>
      </c>
      <c r="D549" s="4">
        <f t="shared" si="8"/>
        <v>3.7000000000000002E-3</v>
      </c>
    </row>
    <row r="550" spans="1:4" x14ac:dyDescent="0.2">
      <c r="A550" s="4">
        <v>647</v>
      </c>
      <c r="B550" s="4">
        <v>3.7000000000000002E-3</v>
      </c>
      <c r="C550" s="4">
        <v>0</v>
      </c>
      <c r="D550" s="4">
        <f t="shared" si="8"/>
        <v>3.7000000000000002E-3</v>
      </c>
    </row>
    <row r="551" spans="1:4" x14ac:dyDescent="0.2">
      <c r="A551" s="4">
        <v>648</v>
      </c>
      <c r="B551" s="4">
        <v>3.7000000000000002E-3</v>
      </c>
      <c r="C551" s="4">
        <v>0</v>
      </c>
      <c r="D551" s="4">
        <f t="shared" si="8"/>
        <v>3.7000000000000002E-3</v>
      </c>
    </row>
    <row r="552" spans="1:4" x14ac:dyDescent="0.2">
      <c r="A552" s="4">
        <v>649</v>
      </c>
      <c r="B552" s="4">
        <v>3.7000000000000002E-3</v>
      </c>
      <c r="C552" s="4">
        <v>0</v>
      </c>
      <c r="D552" s="4">
        <f t="shared" si="8"/>
        <v>3.7000000000000002E-3</v>
      </c>
    </row>
    <row r="553" spans="1:4" x14ac:dyDescent="0.2">
      <c r="A553" s="4">
        <v>650</v>
      </c>
      <c r="B553" s="4">
        <v>3.7000000000000002E-3</v>
      </c>
      <c r="C553" s="4">
        <v>0</v>
      </c>
      <c r="D553" s="4">
        <f t="shared" si="8"/>
        <v>3.7000000000000002E-3</v>
      </c>
    </row>
    <row r="554" spans="1:4" x14ac:dyDescent="0.2">
      <c r="A554" s="4">
        <v>651</v>
      </c>
      <c r="B554" s="4">
        <v>3.7000000000000002E-3</v>
      </c>
      <c r="C554" s="4">
        <v>0</v>
      </c>
      <c r="D554" s="4">
        <f t="shared" si="8"/>
        <v>3.7000000000000002E-3</v>
      </c>
    </row>
    <row r="555" spans="1:4" x14ac:dyDescent="0.2">
      <c r="A555" s="4">
        <v>652</v>
      </c>
      <c r="B555" s="4">
        <v>3.7000000000000002E-3</v>
      </c>
      <c r="C555" s="4">
        <v>0</v>
      </c>
      <c r="D555" s="4">
        <f t="shared" si="8"/>
        <v>3.7000000000000002E-3</v>
      </c>
    </row>
    <row r="556" spans="1:4" x14ac:dyDescent="0.2">
      <c r="A556" s="4">
        <v>653</v>
      </c>
      <c r="B556" s="4">
        <v>3.7000000000000002E-3</v>
      </c>
      <c r="C556" s="4">
        <v>0</v>
      </c>
      <c r="D556" s="4">
        <f t="shared" si="8"/>
        <v>3.7000000000000002E-3</v>
      </c>
    </row>
    <row r="557" spans="1:4" x14ac:dyDescent="0.2">
      <c r="A557" s="4">
        <v>654</v>
      </c>
      <c r="B557" s="4">
        <v>3.7000000000000002E-3</v>
      </c>
      <c r="C557" s="4">
        <v>0</v>
      </c>
      <c r="D557" s="4">
        <f t="shared" si="8"/>
        <v>3.7000000000000002E-3</v>
      </c>
    </row>
    <row r="558" spans="1:4" x14ac:dyDescent="0.2">
      <c r="A558" s="4">
        <v>655</v>
      </c>
      <c r="B558" s="4">
        <v>3.7000000000000002E-3</v>
      </c>
      <c r="C558" s="4">
        <v>0</v>
      </c>
      <c r="D558" s="4">
        <f t="shared" si="8"/>
        <v>3.7000000000000002E-3</v>
      </c>
    </row>
    <row r="559" spans="1:4" x14ac:dyDescent="0.2">
      <c r="A559" s="4">
        <v>656</v>
      </c>
      <c r="B559" s="4">
        <v>3.7000000000000002E-3</v>
      </c>
      <c r="C559" s="4">
        <v>0</v>
      </c>
      <c r="D559" s="4">
        <f t="shared" si="8"/>
        <v>3.7000000000000002E-3</v>
      </c>
    </row>
    <row r="560" spans="1:4" x14ac:dyDescent="0.2">
      <c r="A560" s="4">
        <v>657</v>
      </c>
      <c r="B560" s="4">
        <v>3.7000000000000002E-3</v>
      </c>
      <c r="C560" s="4">
        <v>0</v>
      </c>
      <c r="D560" s="4">
        <f t="shared" si="8"/>
        <v>3.7000000000000002E-3</v>
      </c>
    </row>
    <row r="561" spans="1:4" x14ac:dyDescent="0.2">
      <c r="A561" s="4">
        <v>658</v>
      </c>
      <c r="B561" s="4">
        <v>3.7000000000000002E-3</v>
      </c>
      <c r="C561" s="4">
        <v>0</v>
      </c>
      <c r="D561" s="4">
        <f t="shared" si="8"/>
        <v>3.7000000000000002E-3</v>
      </c>
    </row>
    <row r="562" spans="1:4" x14ac:dyDescent="0.2">
      <c r="A562" s="4">
        <v>659</v>
      </c>
      <c r="B562" s="4">
        <v>3.7000000000000002E-3</v>
      </c>
      <c r="C562" s="4">
        <v>0</v>
      </c>
      <c r="D562" s="4">
        <f t="shared" si="8"/>
        <v>3.7000000000000002E-3</v>
      </c>
    </row>
    <row r="563" spans="1:4" x14ac:dyDescent="0.2">
      <c r="A563" s="4">
        <v>660</v>
      </c>
      <c r="B563" s="4">
        <v>3.8E-3</v>
      </c>
      <c r="C563" s="4">
        <v>0</v>
      </c>
      <c r="D563" s="4">
        <f t="shared" si="8"/>
        <v>3.8E-3</v>
      </c>
    </row>
    <row r="564" spans="1:4" x14ac:dyDescent="0.2">
      <c r="A564" s="4">
        <v>661</v>
      </c>
      <c r="B564" s="4">
        <v>3.8E-3</v>
      </c>
      <c r="C564" s="4">
        <v>0</v>
      </c>
      <c r="D564" s="4">
        <f t="shared" si="8"/>
        <v>3.8E-3</v>
      </c>
    </row>
    <row r="565" spans="1:4" x14ac:dyDescent="0.2">
      <c r="A565" s="4">
        <v>662</v>
      </c>
      <c r="B565" s="4">
        <v>3.8E-3</v>
      </c>
      <c r="C565" s="4">
        <v>0</v>
      </c>
      <c r="D565" s="4">
        <f t="shared" si="8"/>
        <v>3.8E-3</v>
      </c>
    </row>
    <row r="566" spans="1:4" x14ac:dyDescent="0.2">
      <c r="A566" s="4">
        <v>663</v>
      </c>
      <c r="B566" s="4">
        <v>3.8E-3</v>
      </c>
      <c r="C566" s="4">
        <v>0</v>
      </c>
      <c r="D566" s="4">
        <f t="shared" si="8"/>
        <v>3.8E-3</v>
      </c>
    </row>
    <row r="567" spans="1:4" x14ac:dyDescent="0.2">
      <c r="A567" s="4">
        <v>664</v>
      </c>
      <c r="B567" s="4">
        <v>3.8E-3</v>
      </c>
      <c r="C567" s="4">
        <v>0</v>
      </c>
      <c r="D567" s="4">
        <f t="shared" si="8"/>
        <v>3.8E-3</v>
      </c>
    </row>
    <row r="568" spans="1:4" x14ac:dyDescent="0.2">
      <c r="A568" s="4">
        <v>665</v>
      </c>
      <c r="B568" s="4">
        <v>3.8E-3</v>
      </c>
      <c r="C568" s="4">
        <v>0</v>
      </c>
      <c r="D568" s="4">
        <f t="shared" si="8"/>
        <v>3.8E-3</v>
      </c>
    </row>
    <row r="569" spans="1:4" x14ac:dyDescent="0.2">
      <c r="A569" s="4">
        <v>666</v>
      </c>
      <c r="B569" s="4">
        <v>3.8E-3</v>
      </c>
      <c r="C569" s="4">
        <v>0</v>
      </c>
      <c r="D569" s="4">
        <f t="shared" si="8"/>
        <v>3.8E-3</v>
      </c>
    </row>
    <row r="570" spans="1:4" x14ac:dyDescent="0.2">
      <c r="A570" s="4">
        <v>667</v>
      </c>
      <c r="B570" s="4">
        <v>3.8E-3</v>
      </c>
      <c r="C570" s="4">
        <v>0</v>
      </c>
      <c r="D570" s="4">
        <f t="shared" si="8"/>
        <v>3.8E-3</v>
      </c>
    </row>
    <row r="571" spans="1:4" x14ac:dyDescent="0.2">
      <c r="A571" s="4">
        <v>668</v>
      </c>
      <c r="B571" s="4">
        <v>3.8E-3</v>
      </c>
      <c r="C571" s="4">
        <v>0</v>
      </c>
      <c r="D571" s="4">
        <f t="shared" si="8"/>
        <v>3.8E-3</v>
      </c>
    </row>
    <row r="572" spans="1:4" x14ac:dyDescent="0.2">
      <c r="A572" s="4">
        <v>669</v>
      </c>
      <c r="B572" s="4">
        <v>3.8E-3</v>
      </c>
      <c r="C572" s="4">
        <v>0</v>
      </c>
      <c r="D572" s="4">
        <f t="shared" si="8"/>
        <v>3.8E-3</v>
      </c>
    </row>
    <row r="573" spans="1:4" x14ac:dyDescent="0.2">
      <c r="A573" s="4">
        <v>670</v>
      </c>
      <c r="B573" s="4">
        <v>3.8E-3</v>
      </c>
      <c r="C573" s="4">
        <v>0</v>
      </c>
      <c r="D573" s="4">
        <f t="shared" si="8"/>
        <v>3.8E-3</v>
      </c>
    </row>
    <row r="574" spans="1:4" x14ac:dyDescent="0.2">
      <c r="A574" s="4">
        <v>671</v>
      </c>
      <c r="B574" s="4">
        <v>3.8E-3</v>
      </c>
      <c r="C574" s="4">
        <v>0</v>
      </c>
      <c r="D574" s="4">
        <f t="shared" si="8"/>
        <v>3.8E-3</v>
      </c>
    </row>
    <row r="575" spans="1:4" x14ac:dyDescent="0.2">
      <c r="A575" s="4">
        <v>672</v>
      </c>
      <c r="B575" s="4">
        <v>3.8E-3</v>
      </c>
      <c r="C575" s="4">
        <v>0</v>
      </c>
      <c r="D575" s="4">
        <f t="shared" si="8"/>
        <v>3.8E-3</v>
      </c>
    </row>
    <row r="576" spans="1:4" x14ac:dyDescent="0.2">
      <c r="A576" s="4">
        <v>673</v>
      </c>
      <c r="B576" s="4">
        <v>3.8E-3</v>
      </c>
      <c r="C576" s="4">
        <v>0</v>
      </c>
      <c r="D576" s="4">
        <f t="shared" si="8"/>
        <v>3.8E-3</v>
      </c>
    </row>
    <row r="577" spans="1:4" x14ac:dyDescent="0.2">
      <c r="A577" s="4">
        <v>674</v>
      </c>
      <c r="B577" s="4">
        <v>3.8E-3</v>
      </c>
      <c r="C577" s="4">
        <v>1E-4</v>
      </c>
      <c r="D577" s="4">
        <f t="shared" si="8"/>
        <v>3.7000000000000002E-3</v>
      </c>
    </row>
    <row r="578" spans="1:4" x14ac:dyDescent="0.2">
      <c r="A578" s="4">
        <v>675</v>
      </c>
      <c r="B578" s="4">
        <v>3.8E-3</v>
      </c>
      <c r="C578" s="4">
        <v>1E-4</v>
      </c>
      <c r="D578" s="4">
        <f t="shared" si="8"/>
        <v>3.7000000000000002E-3</v>
      </c>
    </row>
    <row r="579" spans="1:4" x14ac:dyDescent="0.2">
      <c r="A579" s="4">
        <v>676</v>
      </c>
      <c r="B579" s="4">
        <v>3.8E-3</v>
      </c>
      <c r="C579" s="4">
        <v>1E-4</v>
      </c>
      <c r="D579" s="4">
        <f t="shared" ref="D579:D642" si="9">B579-C579</f>
        <v>3.7000000000000002E-3</v>
      </c>
    </row>
    <row r="580" spans="1:4" x14ac:dyDescent="0.2">
      <c r="A580" s="4">
        <v>677</v>
      </c>
      <c r="B580" s="4">
        <v>3.8E-3</v>
      </c>
      <c r="C580" s="4">
        <v>1E-4</v>
      </c>
      <c r="D580" s="4">
        <f t="shared" si="9"/>
        <v>3.7000000000000002E-3</v>
      </c>
    </row>
    <row r="581" spans="1:4" x14ac:dyDescent="0.2">
      <c r="A581" s="4">
        <v>678</v>
      </c>
      <c r="B581" s="4">
        <v>3.8E-3</v>
      </c>
      <c r="C581" s="4">
        <v>1E-4</v>
      </c>
      <c r="D581" s="4">
        <f t="shared" si="9"/>
        <v>3.7000000000000002E-3</v>
      </c>
    </row>
    <row r="582" spans="1:4" x14ac:dyDescent="0.2">
      <c r="A582" s="4">
        <v>679</v>
      </c>
      <c r="B582" s="4">
        <v>3.8E-3</v>
      </c>
      <c r="C582" s="4">
        <v>1E-4</v>
      </c>
      <c r="D582" s="4">
        <f t="shared" si="9"/>
        <v>3.7000000000000002E-3</v>
      </c>
    </row>
    <row r="583" spans="1:4" x14ac:dyDescent="0.2">
      <c r="A583" s="4">
        <v>680</v>
      </c>
      <c r="B583" s="4">
        <v>3.8E-3</v>
      </c>
      <c r="C583" s="4">
        <v>1E-4</v>
      </c>
      <c r="D583" s="4">
        <f t="shared" si="9"/>
        <v>3.7000000000000002E-3</v>
      </c>
    </row>
    <row r="584" spans="1:4" x14ac:dyDescent="0.2">
      <c r="A584" s="4">
        <v>681</v>
      </c>
      <c r="B584" s="4">
        <v>3.8E-3</v>
      </c>
      <c r="C584" s="4">
        <v>1E-4</v>
      </c>
      <c r="D584" s="4">
        <f t="shared" si="9"/>
        <v>3.7000000000000002E-3</v>
      </c>
    </row>
    <row r="585" spans="1:4" x14ac:dyDescent="0.2">
      <c r="A585" s="4">
        <v>682</v>
      </c>
      <c r="B585" s="4">
        <v>3.8E-3</v>
      </c>
      <c r="C585" s="4">
        <v>1E-4</v>
      </c>
      <c r="D585" s="4">
        <f t="shared" si="9"/>
        <v>3.7000000000000002E-3</v>
      </c>
    </row>
    <row r="586" spans="1:4" x14ac:dyDescent="0.2">
      <c r="A586" s="4">
        <v>683</v>
      </c>
      <c r="B586" s="4">
        <v>3.8E-3</v>
      </c>
      <c r="C586" s="4">
        <v>1E-4</v>
      </c>
      <c r="D586" s="4">
        <f t="shared" si="9"/>
        <v>3.7000000000000002E-3</v>
      </c>
    </row>
    <row r="587" spans="1:4" x14ac:dyDescent="0.2">
      <c r="A587" s="4">
        <v>684</v>
      </c>
      <c r="B587" s="4">
        <v>3.8E-3</v>
      </c>
      <c r="C587" s="4">
        <v>1E-4</v>
      </c>
      <c r="D587" s="4">
        <f t="shared" si="9"/>
        <v>3.7000000000000002E-3</v>
      </c>
    </row>
    <row r="588" spans="1:4" x14ac:dyDescent="0.2">
      <c r="A588" s="4">
        <v>685</v>
      </c>
      <c r="B588" s="4">
        <v>3.8E-3</v>
      </c>
      <c r="C588" s="4">
        <v>1E-4</v>
      </c>
      <c r="D588" s="4">
        <f t="shared" si="9"/>
        <v>3.7000000000000002E-3</v>
      </c>
    </row>
    <row r="589" spans="1:4" x14ac:dyDescent="0.2">
      <c r="A589" s="4">
        <v>686</v>
      </c>
      <c r="B589" s="4">
        <v>3.8E-3</v>
      </c>
      <c r="C589" s="4">
        <v>1E-4</v>
      </c>
      <c r="D589" s="4">
        <f t="shared" si="9"/>
        <v>3.7000000000000002E-3</v>
      </c>
    </row>
    <row r="590" spans="1:4" x14ac:dyDescent="0.2">
      <c r="A590" s="4">
        <v>687</v>
      </c>
      <c r="B590" s="4">
        <v>3.8E-3</v>
      </c>
      <c r="C590" s="4">
        <v>1E-4</v>
      </c>
      <c r="D590" s="4">
        <f t="shared" si="9"/>
        <v>3.7000000000000002E-3</v>
      </c>
    </row>
    <row r="591" spans="1:4" x14ac:dyDescent="0.2">
      <c r="A591" s="4">
        <v>688</v>
      </c>
      <c r="B591" s="4">
        <v>3.8E-3</v>
      </c>
      <c r="C591" s="4">
        <v>1E-4</v>
      </c>
      <c r="D591" s="4">
        <f t="shared" si="9"/>
        <v>3.7000000000000002E-3</v>
      </c>
    </row>
    <row r="592" spans="1:4" x14ac:dyDescent="0.2">
      <c r="A592" s="4">
        <v>689</v>
      </c>
      <c r="B592" s="4">
        <v>3.8999999999999998E-3</v>
      </c>
      <c r="C592" s="4">
        <v>1E-4</v>
      </c>
      <c r="D592" s="4">
        <f t="shared" si="9"/>
        <v>3.8E-3</v>
      </c>
    </row>
    <row r="593" spans="1:4" x14ac:dyDescent="0.2">
      <c r="A593" s="4">
        <v>690</v>
      </c>
      <c r="B593" s="4">
        <v>3.8999999999999998E-3</v>
      </c>
      <c r="C593" s="4">
        <v>1E-4</v>
      </c>
      <c r="D593" s="4">
        <f t="shared" si="9"/>
        <v>3.8E-3</v>
      </c>
    </row>
    <row r="594" spans="1:4" x14ac:dyDescent="0.2">
      <c r="A594" s="4">
        <v>691</v>
      </c>
      <c r="B594" s="4">
        <v>3.8999999999999998E-3</v>
      </c>
      <c r="C594" s="4">
        <v>1E-4</v>
      </c>
      <c r="D594" s="4">
        <f t="shared" si="9"/>
        <v>3.8E-3</v>
      </c>
    </row>
    <row r="595" spans="1:4" x14ac:dyDescent="0.2">
      <c r="A595" s="4">
        <v>692</v>
      </c>
      <c r="B595" s="4">
        <v>3.8999999999999998E-3</v>
      </c>
      <c r="C595" s="4">
        <v>1E-4</v>
      </c>
      <c r="D595" s="4">
        <f t="shared" si="9"/>
        <v>3.8E-3</v>
      </c>
    </row>
    <row r="596" spans="1:4" x14ac:dyDescent="0.2">
      <c r="A596" s="4">
        <v>693</v>
      </c>
      <c r="B596" s="4">
        <v>3.8999999999999998E-3</v>
      </c>
      <c r="C596" s="4">
        <v>1E-4</v>
      </c>
      <c r="D596" s="4">
        <f t="shared" si="9"/>
        <v>3.8E-3</v>
      </c>
    </row>
    <row r="597" spans="1:4" x14ac:dyDescent="0.2">
      <c r="A597" s="4">
        <v>694</v>
      </c>
      <c r="B597" s="4">
        <v>3.8999999999999998E-3</v>
      </c>
      <c r="C597" s="4">
        <v>1E-4</v>
      </c>
      <c r="D597" s="4">
        <f t="shared" si="9"/>
        <v>3.8E-3</v>
      </c>
    </row>
    <row r="598" spans="1:4" x14ac:dyDescent="0.2">
      <c r="A598" s="4">
        <v>695</v>
      </c>
      <c r="B598" s="4">
        <v>3.8999999999999998E-3</v>
      </c>
      <c r="C598" s="4">
        <v>1E-4</v>
      </c>
      <c r="D598" s="4">
        <f t="shared" si="9"/>
        <v>3.8E-3</v>
      </c>
    </row>
    <row r="599" spans="1:4" x14ac:dyDescent="0.2">
      <c r="A599" s="4">
        <v>696</v>
      </c>
      <c r="B599" s="4">
        <v>3.8999999999999998E-3</v>
      </c>
      <c r="C599" s="4">
        <v>1E-4</v>
      </c>
      <c r="D599" s="4">
        <f t="shared" si="9"/>
        <v>3.8E-3</v>
      </c>
    </row>
    <row r="600" spans="1:4" x14ac:dyDescent="0.2">
      <c r="A600" s="4">
        <v>697</v>
      </c>
      <c r="B600" s="4">
        <v>3.8999999999999998E-3</v>
      </c>
      <c r="C600" s="4">
        <v>1E-4</v>
      </c>
      <c r="D600" s="4">
        <f t="shared" si="9"/>
        <v>3.8E-3</v>
      </c>
    </row>
    <row r="601" spans="1:4" x14ac:dyDescent="0.2">
      <c r="A601" s="4">
        <v>698</v>
      </c>
      <c r="B601" s="4">
        <v>3.8999999999999998E-3</v>
      </c>
      <c r="C601" s="4">
        <v>1E-4</v>
      </c>
      <c r="D601" s="4">
        <f t="shared" si="9"/>
        <v>3.8E-3</v>
      </c>
    </row>
    <row r="602" spans="1:4" x14ac:dyDescent="0.2">
      <c r="A602" s="4">
        <v>699</v>
      </c>
      <c r="B602" s="4">
        <v>4.0000000000000001E-3</v>
      </c>
      <c r="C602" s="4">
        <v>1E-4</v>
      </c>
      <c r="D602" s="4">
        <f t="shared" si="9"/>
        <v>3.9000000000000003E-3</v>
      </c>
    </row>
    <row r="603" spans="1:4" x14ac:dyDescent="0.2">
      <c r="A603" s="4">
        <v>700</v>
      </c>
      <c r="B603" s="4">
        <v>4.0000000000000001E-3</v>
      </c>
      <c r="C603" s="4">
        <v>1E-4</v>
      </c>
      <c r="D603" s="4">
        <f t="shared" si="9"/>
        <v>3.9000000000000003E-3</v>
      </c>
    </row>
    <row r="604" spans="1:4" x14ac:dyDescent="0.2">
      <c r="A604" s="4">
        <v>701</v>
      </c>
      <c r="B604" s="4">
        <v>4.0000000000000001E-3</v>
      </c>
      <c r="C604" s="4">
        <v>1E-4</v>
      </c>
      <c r="D604" s="4">
        <f t="shared" si="9"/>
        <v>3.9000000000000003E-3</v>
      </c>
    </row>
    <row r="605" spans="1:4" x14ac:dyDescent="0.2">
      <c r="A605" s="4">
        <v>702</v>
      </c>
      <c r="B605" s="4">
        <v>4.0000000000000001E-3</v>
      </c>
      <c r="C605" s="4">
        <v>1E-4</v>
      </c>
      <c r="D605" s="4">
        <f t="shared" si="9"/>
        <v>3.9000000000000003E-3</v>
      </c>
    </row>
    <row r="606" spans="1:4" x14ac:dyDescent="0.2">
      <c r="A606" s="4">
        <v>703</v>
      </c>
      <c r="B606" s="4">
        <v>4.0000000000000001E-3</v>
      </c>
      <c r="C606" s="4">
        <v>1E-4</v>
      </c>
      <c r="D606" s="4">
        <f t="shared" si="9"/>
        <v>3.9000000000000003E-3</v>
      </c>
    </row>
    <row r="607" spans="1:4" x14ac:dyDescent="0.2">
      <c r="A607" s="4">
        <v>704</v>
      </c>
      <c r="B607" s="4">
        <v>4.0000000000000001E-3</v>
      </c>
      <c r="C607" s="4">
        <v>1E-4</v>
      </c>
      <c r="D607" s="4">
        <f t="shared" si="9"/>
        <v>3.9000000000000003E-3</v>
      </c>
    </row>
    <row r="608" spans="1:4" x14ac:dyDescent="0.2">
      <c r="A608" s="4">
        <v>705</v>
      </c>
      <c r="B608" s="4">
        <v>4.0000000000000001E-3</v>
      </c>
      <c r="C608" s="4">
        <v>1E-4</v>
      </c>
      <c r="D608" s="4">
        <f t="shared" si="9"/>
        <v>3.9000000000000003E-3</v>
      </c>
    </row>
    <row r="609" spans="1:4" x14ac:dyDescent="0.2">
      <c r="A609" s="4">
        <v>706</v>
      </c>
      <c r="B609" s="4">
        <v>4.0000000000000001E-3</v>
      </c>
      <c r="C609" s="4">
        <v>1E-4</v>
      </c>
      <c r="D609" s="4">
        <f t="shared" si="9"/>
        <v>3.9000000000000003E-3</v>
      </c>
    </row>
    <row r="610" spans="1:4" x14ac:dyDescent="0.2">
      <c r="A610" s="4">
        <v>707</v>
      </c>
      <c r="B610" s="4">
        <v>4.0000000000000001E-3</v>
      </c>
      <c r="C610" s="4">
        <v>1E-4</v>
      </c>
      <c r="D610" s="4">
        <f t="shared" si="9"/>
        <v>3.9000000000000003E-3</v>
      </c>
    </row>
    <row r="611" spans="1:4" x14ac:dyDescent="0.2">
      <c r="A611" s="4">
        <v>708</v>
      </c>
      <c r="B611" s="4">
        <v>4.0000000000000001E-3</v>
      </c>
      <c r="C611" s="4">
        <v>1E-4</v>
      </c>
      <c r="D611" s="4">
        <f t="shared" si="9"/>
        <v>3.9000000000000003E-3</v>
      </c>
    </row>
    <row r="612" spans="1:4" x14ac:dyDescent="0.2">
      <c r="A612" s="4">
        <v>709</v>
      </c>
      <c r="B612" s="4">
        <v>4.1000000000000003E-3</v>
      </c>
      <c r="C612" s="4">
        <v>1E-4</v>
      </c>
      <c r="D612" s="4">
        <f t="shared" si="9"/>
        <v>4.0000000000000001E-3</v>
      </c>
    </row>
    <row r="613" spans="1:4" x14ac:dyDescent="0.2">
      <c r="A613" s="4">
        <v>710</v>
      </c>
      <c r="B613" s="4">
        <v>4.1000000000000003E-3</v>
      </c>
      <c r="C613" s="4">
        <v>1E-4</v>
      </c>
      <c r="D613" s="4">
        <f t="shared" si="9"/>
        <v>4.0000000000000001E-3</v>
      </c>
    </row>
    <row r="614" spans="1:4" x14ac:dyDescent="0.2">
      <c r="A614" s="4">
        <v>711</v>
      </c>
      <c r="B614" s="4">
        <v>4.1000000000000003E-3</v>
      </c>
      <c r="C614" s="4">
        <v>1E-4</v>
      </c>
      <c r="D614" s="4">
        <f t="shared" si="9"/>
        <v>4.0000000000000001E-3</v>
      </c>
    </row>
    <row r="615" spans="1:4" x14ac:dyDescent="0.2">
      <c r="A615" s="4">
        <v>712</v>
      </c>
      <c r="B615" s="4">
        <v>4.1000000000000003E-3</v>
      </c>
      <c r="C615" s="4">
        <v>1E-4</v>
      </c>
      <c r="D615" s="4">
        <f t="shared" si="9"/>
        <v>4.0000000000000001E-3</v>
      </c>
    </row>
    <row r="616" spans="1:4" x14ac:dyDescent="0.2">
      <c r="A616" s="4">
        <v>713</v>
      </c>
      <c r="B616" s="4">
        <v>4.1000000000000003E-3</v>
      </c>
      <c r="C616" s="4">
        <v>1E-4</v>
      </c>
      <c r="D616" s="4">
        <f t="shared" si="9"/>
        <v>4.0000000000000001E-3</v>
      </c>
    </row>
    <row r="617" spans="1:4" x14ac:dyDescent="0.2">
      <c r="A617" s="4">
        <v>714</v>
      </c>
      <c r="B617" s="4">
        <v>4.1000000000000003E-3</v>
      </c>
      <c r="C617" s="4">
        <v>1E-4</v>
      </c>
      <c r="D617" s="4">
        <f t="shared" si="9"/>
        <v>4.0000000000000001E-3</v>
      </c>
    </row>
    <row r="618" spans="1:4" x14ac:dyDescent="0.2">
      <c r="A618" s="4">
        <v>715</v>
      </c>
      <c r="B618" s="4">
        <v>4.1000000000000003E-3</v>
      </c>
      <c r="C618" s="4">
        <v>2.0000000000000001E-4</v>
      </c>
      <c r="D618" s="4">
        <f t="shared" si="9"/>
        <v>3.9000000000000003E-3</v>
      </c>
    </row>
    <row r="619" spans="1:4" x14ac:dyDescent="0.2">
      <c r="A619" s="4">
        <v>716</v>
      </c>
      <c r="B619" s="4">
        <v>4.1000000000000003E-3</v>
      </c>
      <c r="C619" s="4">
        <v>2.0000000000000001E-4</v>
      </c>
      <c r="D619" s="4">
        <f t="shared" si="9"/>
        <v>3.9000000000000003E-3</v>
      </c>
    </row>
    <row r="620" spans="1:4" x14ac:dyDescent="0.2">
      <c r="A620" s="4">
        <v>717</v>
      </c>
      <c r="B620" s="4">
        <v>4.1000000000000003E-3</v>
      </c>
      <c r="C620" s="4">
        <v>2.0000000000000001E-4</v>
      </c>
      <c r="D620" s="4">
        <f t="shared" si="9"/>
        <v>3.9000000000000003E-3</v>
      </c>
    </row>
    <row r="621" spans="1:4" x14ac:dyDescent="0.2">
      <c r="A621" s="4">
        <v>718</v>
      </c>
      <c r="B621" s="4">
        <v>4.1000000000000003E-3</v>
      </c>
      <c r="C621" s="4">
        <v>2.0000000000000001E-4</v>
      </c>
      <c r="D621" s="4">
        <f t="shared" si="9"/>
        <v>3.9000000000000003E-3</v>
      </c>
    </row>
    <row r="622" spans="1:4" x14ac:dyDescent="0.2">
      <c r="A622" s="4">
        <v>719</v>
      </c>
      <c r="B622" s="4">
        <v>4.1000000000000003E-3</v>
      </c>
      <c r="C622" s="4">
        <v>2.0000000000000001E-4</v>
      </c>
      <c r="D622" s="4">
        <f t="shared" si="9"/>
        <v>3.9000000000000003E-3</v>
      </c>
    </row>
    <row r="623" spans="1:4" x14ac:dyDescent="0.2">
      <c r="A623" s="4">
        <v>720</v>
      </c>
      <c r="B623" s="4">
        <v>4.1999999999999997E-3</v>
      </c>
      <c r="C623" s="4">
        <v>2.0000000000000001E-4</v>
      </c>
      <c r="D623" s="4">
        <f t="shared" si="9"/>
        <v>4.0000000000000001E-3</v>
      </c>
    </row>
    <row r="624" spans="1:4" x14ac:dyDescent="0.2">
      <c r="A624" s="4">
        <v>721</v>
      </c>
      <c r="B624" s="4">
        <v>4.1999999999999997E-3</v>
      </c>
      <c r="C624" s="4">
        <v>2.0000000000000001E-4</v>
      </c>
      <c r="D624" s="4">
        <f t="shared" si="9"/>
        <v>4.0000000000000001E-3</v>
      </c>
    </row>
    <row r="625" spans="1:4" x14ac:dyDescent="0.2">
      <c r="A625" s="4">
        <v>722</v>
      </c>
      <c r="B625" s="4">
        <v>4.1999999999999997E-3</v>
      </c>
      <c r="C625" s="4">
        <v>2.0000000000000001E-4</v>
      </c>
      <c r="D625" s="4">
        <f t="shared" si="9"/>
        <v>4.0000000000000001E-3</v>
      </c>
    </row>
    <row r="626" spans="1:4" x14ac:dyDescent="0.2">
      <c r="A626" s="4">
        <v>723</v>
      </c>
      <c r="B626" s="4">
        <v>4.1999999999999997E-3</v>
      </c>
      <c r="C626" s="4">
        <v>2.0000000000000001E-4</v>
      </c>
      <c r="D626" s="4">
        <f t="shared" si="9"/>
        <v>4.0000000000000001E-3</v>
      </c>
    </row>
    <row r="627" spans="1:4" x14ac:dyDescent="0.2">
      <c r="A627" s="4">
        <v>724</v>
      </c>
      <c r="B627" s="4">
        <v>4.1999999999999997E-3</v>
      </c>
      <c r="C627" s="4">
        <v>2.0000000000000001E-4</v>
      </c>
      <c r="D627" s="4">
        <f t="shared" si="9"/>
        <v>4.0000000000000001E-3</v>
      </c>
    </row>
    <row r="628" spans="1:4" x14ac:dyDescent="0.2">
      <c r="A628" s="4">
        <v>725</v>
      </c>
      <c r="B628" s="4">
        <v>4.1999999999999997E-3</v>
      </c>
      <c r="C628" s="4">
        <v>2.0000000000000001E-4</v>
      </c>
      <c r="D628" s="4">
        <f t="shared" si="9"/>
        <v>4.0000000000000001E-3</v>
      </c>
    </row>
    <row r="629" spans="1:4" x14ac:dyDescent="0.2">
      <c r="A629" s="4">
        <v>726</v>
      </c>
      <c r="B629" s="4">
        <v>4.1999999999999997E-3</v>
      </c>
      <c r="C629" s="4">
        <v>2.0000000000000001E-4</v>
      </c>
      <c r="D629" s="4">
        <f t="shared" si="9"/>
        <v>4.0000000000000001E-3</v>
      </c>
    </row>
    <row r="630" spans="1:4" x14ac:dyDescent="0.2">
      <c r="A630" s="4">
        <v>727</v>
      </c>
      <c r="B630" s="4">
        <v>4.1999999999999997E-3</v>
      </c>
      <c r="C630" s="4">
        <v>2.0000000000000001E-4</v>
      </c>
      <c r="D630" s="4">
        <f t="shared" si="9"/>
        <v>4.0000000000000001E-3</v>
      </c>
    </row>
    <row r="631" spans="1:4" x14ac:dyDescent="0.2">
      <c r="A631" s="4">
        <v>728</v>
      </c>
      <c r="B631" s="4">
        <v>4.1999999999999997E-3</v>
      </c>
      <c r="C631" s="4">
        <v>2.0000000000000001E-4</v>
      </c>
      <c r="D631" s="4">
        <f t="shared" si="9"/>
        <v>4.0000000000000001E-3</v>
      </c>
    </row>
    <row r="632" spans="1:4" x14ac:dyDescent="0.2">
      <c r="A632" s="4">
        <v>729</v>
      </c>
      <c r="B632" s="4">
        <v>4.1999999999999997E-3</v>
      </c>
      <c r="C632" s="4">
        <v>2.0000000000000001E-4</v>
      </c>
      <c r="D632" s="4">
        <f t="shared" si="9"/>
        <v>4.0000000000000001E-3</v>
      </c>
    </row>
    <row r="633" spans="1:4" x14ac:dyDescent="0.2">
      <c r="A633" s="4">
        <v>730</v>
      </c>
      <c r="B633" s="4">
        <v>4.3E-3</v>
      </c>
      <c r="C633" s="4">
        <v>2.0000000000000001E-4</v>
      </c>
      <c r="D633" s="4">
        <f t="shared" si="9"/>
        <v>4.1000000000000003E-3</v>
      </c>
    </row>
    <row r="634" spans="1:4" x14ac:dyDescent="0.2">
      <c r="A634" s="4">
        <v>731</v>
      </c>
      <c r="B634" s="4">
        <v>4.3E-3</v>
      </c>
      <c r="C634" s="4">
        <v>2.0000000000000001E-4</v>
      </c>
      <c r="D634" s="4">
        <f t="shared" si="9"/>
        <v>4.1000000000000003E-3</v>
      </c>
    </row>
    <row r="635" spans="1:4" x14ac:dyDescent="0.2">
      <c r="A635" s="4">
        <v>732</v>
      </c>
      <c r="B635" s="4">
        <v>4.3E-3</v>
      </c>
      <c r="C635" s="4">
        <v>2.0000000000000001E-4</v>
      </c>
      <c r="D635" s="4">
        <f t="shared" si="9"/>
        <v>4.1000000000000003E-3</v>
      </c>
    </row>
    <row r="636" spans="1:4" x14ac:dyDescent="0.2">
      <c r="A636" s="4">
        <v>733</v>
      </c>
      <c r="B636" s="4">
        <v>4.4000000000000003E-3</v>
      </c>
      <c r="C636" s="4">
        <v>2.0000000000000001E-4</v>
      </c>
      <c r="D636" s="4">
        <f t="shared" si="9"/>
        <v>4.2000000000000006E-3</v>
      </c>
    </row>
    <row r="637" spans="1:4" x14ac:dyDescent="0.2">
      <c r="A637" s="4">
        <v>734</v>
      </c>
      <c r="B637" s="4">
        <v>4.4000000000000003E-3</v>
      </c>
      <c r="C637" s="4">
        <v>2.0000000000000001E-4</v>
      </c>
      <c r="D637" s="4">
        <f t="shared" si="9"/>
        <v>4.2000000000000006E-3</v>
      </c>
    </row>
    <row r="638" spans="1:4" x14ac:dyDescent="0.2">
      <c r="A638" s="4">
        <v>735</v>
      </c>
      <c r="B638" s="4">
        <v>4.4000000000000003E-3</v>
      </c>
      <c r="C638" s="4">
        <v>2.0000000000000001E-4</v>
      </c>
      <c r="D638" s="4">
        <f t="shared" si="9"/>
        <v>4.2000000000000006E-3</v>
      </c>
    </row>
    <row r="639" spans="1:4" x14ac:dyDescent="0.2">
      <c r="A639" s="4">
        <v>736</v>
      </c>
      <c r="B639" s="4">
        <v>4.4999999999999997E-3</v>
      </c>
      <c r="C639" s="4">
        <v>2.0000000000000001E-4</v>
      </c>
      <c r="D639" s="4">
        <f t="shared" si="9"/>
        <v>4.3E-3</v>
      </c>
    </row>
    <row r="640" spans="1:4" x14ac:dyDescent="0.2">
      <c r="A640" s="4">
        <v>737</v>
      </c>
      <c r="B640" s="4">
        <v>4.4999999999999997E-3</v>
      </c>
      <c r="C640" s="4">
        <v>2.0000000000000001E-4</v>
      </c>
      <c r="D640" s="4">
        <f t="shared" si="9"/>
        <v>4.3E-3</v>
      </c>
    </row>
    <row r="641" spans="1:4" x14ac:dyDescent="0.2">
      <c r="A641" s="4">
        <v>738</v>
      </c>
      <c r="B641" s="4">
        <v>4.4999999999999997E-3</v>
      </c>
      <c r="C641" s="4">
        <v>2.0000000000000001E-4</v>
      </c>
      <c r="D641" s="4">
        <f t="shared" si="9"/>
        <v>4.3E-3</v>
      </c>
    </row>
    <row r="642" spans="1:4" x14ac:dyDescent="0.2">
      <c r="A642" s="4">
        <v>739</v>
      </c>
      <c r="B642" s="4">
        <v>4.5999999999999999E-3</v>
      </c>
      <c r="C642" s="4">
        <v>2.0000000000000001E-4</v>
      </c>
      <c r="D642" s="4">
        <f t="shared" si="9"/>
        <v>4.4000000000000003E-3</v>
      </c>
    </row>
    <row r="643" spans="1:4" x14ac:dyDescent="0.2">
      <c r="A643" s="4">
        <v>740</v>
      </c>
      <c r="B643" s="4">
        <v>4.5999999999999999E-3</v>
      </c>
      <c r="C643" s="4">
        <v>2.9999999999999997E-4</v>
      </c>
      <c r="D643" s="4">
        <f t="shared" ref="D643:D706" si="10">B643-C643</f>
        <v>4.3E-3</v>
      </c>
    </row>
    <row r="644" spans="1:4" x14ac:dyDescent="0.2">
      <c r="A644" s="4">
        <v>741</v>
      </c>
      <c r="B644" s="4">
        <v>4.5999999999999999E-3</v>
      </c>
      <c r="C644" s="4">
        <v>2.9999999999999997E-4</v>
      </c>
      <c r="D644" s="4">
        <f t="shared" si="10"/>
        <v>4.3E-3</v>
      </c>
    </row>
    <row r="645" spans="1:4" x14ac:dyDescent="0.2">
      <c r="A645" s="4">
        <v>742</v>
      </c>
      <c r="B645" s="4">
        <v>4.5999999999999999E-3</v>
      </c>
      <c r="C645" s="4">
        <v>2.9999999999999997E-4</v>
      </c>
      <c r="D645" s="4">
        <f t="shared" si="10"/>
        <v>4.3E-3</v>
      </c>
    </row>
    <row r="646" spans="1:4" x14ac:dyDescent="0.2">
      <c r="A646" s="4">
        <v>743</v>
      </c>
      <c r="B646" s="4">
        <v>4.7000000000000002E-3</v>
      </c>
      <c r="C646" s="4">
        <v>2.9999999999999997E-4</v>
      </c>
      <c r="D646" s="4">
        <f t="shared" si="10"/>
        <v>4.4000000000000003E-3</v>
      </c>
    </row>
    <row r="647" spans="1:4" x14ac:dyDescent="0.2">
      <c r="A647" s="4">
        <v>744</v>
      </c>
      <c r="B647" s="4">
        <v>4.7000000000000002E-3</v>
      </c>
      <c r="C647" s="4">
        <v>2.9999999999999997E-4</v>
      </c>
      <c r="D647" s="4">
        <f t="shared" si="10"/>
        <v>4.4000000000000003E-3</v>
      </c>
    </row>
    <row r="648" spans="1:4" x14ac:dyDescent="0.2">
      <c r="A648" s="4">
        <v>745</v>
      </c>
      <c r="B648" s="4">
        <v>4.7000000000000002E-3</v>
      </c>
      <c r="C648" s="4">
        <v>2.9999999999999997E-4</v>
      </c>
      <c r="D648" s="4">
        <f t="shared" si="10"/>
        <v>4.4000000000000003E-3</v>
      </c>
    </row>
    <row r="649" spans="1:4" x14ac:dyDescent="0.2">
      <c r="A649" s="4">
        <v>746</v>
      </c>
      <c r="B649" s="4">
        <v>4.7999999999999996E-3</v>
      </c>
      <c r="C649" s="4">
        <v>2.9999999999999997E-4</v>
      </c>
      <c r="D649" s="4">
        <f t="shared" si="10"/>
        <v>4.4999999999999997E-3</v>
      </c>
    </row>
    <row r="650" spans="1:4" x14ac:dyDescent="0.2">
      <c r="A650" s="4">
        <v>747</v>
      </c>
      <c r="B650" s="4">
        <v>4.7999999999999996E-3</v>
      </c>
      <c r="C650" s="4">
        <v>2.9999999999999997E-4</v>
      </c>
      <c r="D650" s="4">
        <f t="shared" si="10"/>
        <v>4.4999999999999997E-3</v>
      </c>
    </row>
    <row r="651" spans="1:4" x14ac:dyDescent="0.2">
      <c r="A651" s="4">
        <v>748</v>
      </c>
      <c r="B651" s="4">
        <v>4.7999999999999996E-3</v>
      </c>
      <c r="C651" s="4">
        <v>2.9999999999999997E-4</v>
      </c>
      <c r="D651" s="4">
        <f t="shared" si="10"/>
        <v>4.4999999999999997E-3</v>
      </c>
    </row>
    <row r="652" spans="1:4" x14ac:dyDescent="0.2">
      <c r="A652" s="4">
        <v>749</v>
      </c>
      <c r="B652" s="4">
        <v>4.8999999999999998E-3</v>
      </c>
      <c r="C652" s="4">
        <v>2.9999999999999997E-4</v>
      </c>
      <c r="D652" s="4">
        <f t="shared" si="10"/>
        <v>4.5999999999999999E-3</v>
      </c>
    </row>
    <row r="653" spans="1:4" x14ac:dyDescent="0.2">
      <c r="A653" s="4">
        <v>750</v>
      </c>
      <c r="B653" s="4">
        <v>4.8999999999999998E-3</v>
      </c>
      <c r="C653" s="4">
        <v>2.9999999999999997E-4</v>
      </c>
      <c r="D653" s="4">
        <f t="shared" si="10"/>
        <v>4.5999999999999999E-3</v>
      </c>
    </row>
    <row r="654" spans="1:4" x14ac:dyDescent="0.2">
      <c r="A654" s="4">
        <v>751</v>
      </c>
      <c r="B654" s="4">
        <v>4.8999999999999998E-3</v>
      </c>
      <c r="C654" s="4">
        <v>2.9999999999999997E-4</v>
      </c>
      <c r="D654" s="4">
        <f t="shared" si="10"/>
        <v>4.5999999999999999E-3</v>
      </c>
    </row>
    <row r="655" spans="1:4" x14ac:dyDescent="0.2">
      <c r="A655" s="4">
        <v>752</v>
      </c>
      <c r="B655" s="4">
        <v>5.0000000000000001E-3</v>
      </c>
      <c r="C655" s="4">
        <v>2.9999999999999997E-4</v>
      </c>
      <c r="D655" s="4">
        <f t="shared" si="10"/>
        <v>4.7000000000000002E-3</v>
      </c>
    </row>
    <row r="656" spans="1:4" x14ac:dyDescent="0.2">
      <c r="A656" s="4">
        <v>753</v>
      </c>
      <c r="B656" s="4">
        <v>5.0000000000000001E-3</v>
      </c>
      <c r="C656" s="4">
        <v>4.0000000000000002E-4</v>
      </c>
      <c r="D656" s="4">
        <f t="shared" si="10"/>
        <v>4.5999999999999999E-3</v>
      </c>
    </row>
    <row r="657" spans="1:4" x14ac:dyDescent="0.2">
      <c r="A657" s="4">
        <v>754</v>
      </c>
      <c r="B657" s="4">
        <v>5.0000000000000001E-3</v>
      </c>
      <c r="C657" s="4">
        <v>4.0000000000000002E-4</v>
      </c>
      <c r="D657" s="4">
        <f t="shared" si="10"/>
        <v>4.5999999999999999E-3</v>
      </c>
    </row>
    <row r="658" spans="1:4" x14ac:dyDescent="0.2">
      <c r="A658" s="4">
        <v>755</v>
      </c>
      <c r="B658" s="4">
        <v>5.1000000000000004E-3</v>
      </c>
      <c r="C658" s="4">
        <v>4.0000000000000002E-4</v>
      </c>
      <c r="D658" s="4">
        <f t="shared" si="10"/>
        <v>4.7000000000000002E-3</v>
      </c>
    </row>
    <row r="659" spans="1:4" x14ac:dyDescent="0.2">
      <c r="A659" s="4">
        <v>756</v>
      </c>
      <c r="B659" s="4">
        <v>5.1000000000000004E-3</v>
      </c>
      <c r="C659" s="4">
        <v>4.0000000000000002E-4</v>
      </c>
      <c r="D659" s="4">
        <f t="shared" si="10"/>
        <v>4.7000000000000002E-3</v>
      </c>
    </row>
    <row r="660" spans="1:4" x14ac:dyDescent="0.2">
      <c r="A660" s="4">
        <v>757</v>
      </c>
      <c r="B660" s="4">
        <v>5.1999999999999998E-3</v>
      </c>
      <c r="C660" s="4">
        <v>4.0000000000000002E-4</v>
      </c>
      <c r="D660" s="4">
        <f t="shared" si="10"/>
        <v>4.7999999999999996E-3</v>
      </c>
    </row>
    <row r="661" spans="1:4" x14ac:dyDescent="0.2">
      <c r="A661" s="4">
        <v>758</v>
      </c>
      <c r="B661" s="4">
        <v>5.1999999999999998E-3</v>
      </c>
      <c r="C661" s="4">
        <v>4.0000000000000002E-4</v>
      </c>
      <c r="D661" s="4">
        <f t="shared" si="10"/>
        <v>4.7999999999999996E-3</v>
      </c>
    </row>
    <row r="662" spans="1:4" x14ac:dyDescent="0.2">
      <c r="A662" s="4">
        <v>759</v>
      </c>
      <c r="B662" s="4">
        <v>5.1999999999999998E-3</v>
      </c>
      <c r="C662" s="4">
        <v>4.0000000000000002E-4</v>
      </c>
      <c r="D662" s="4">
        <f t="shared" si="10"/>
        <v>4.7999999999999996E-3</v>
      </c>
    </row>
    <row r="663" spans="1:4" x14ac:dyDescent="0.2">
      <c r="A663" s="4">
        <v>760</v>
      </c>
      <c r="B663" s="4">
        <v>5.3E-3</v>
      </c>
      <c r="C663" s="4">
        <v>4.0000000000000002E-4</v>
      </c>
      <c r="D663" s="4">
        <f t="shared" si="10"/>
        <v>4.8999999999999998E-3</v>
      </c>
    </row>
    <row r="664" spans="1:4" x14ac:dyDescent="0.2">
      <c r="A664" s="4">
        <v>761</v>
      </c>
      <c r="B664" s="4">
        <v>5.3E-3</v>
      </c>
      <c r="C664" s="4">
        <v>4.0000000000000002E-4</v>
      </c>
      <c r="D664" s="4">
        <f t="shared" si="10"/>
        <v>4.8999999999999998E-3</v>
      </c>
    </row>
    <row r="665" spans="1:4" x14ac:dyDescent="0.2">
      <c r="A665" s="4">
        <v>762</v>
      </c>
      <c r="B665" s="4">
        <v>5.3E-3</v>
      </c>
      <c r="C665" s="4">
        <v>5.0000000000000001E-4</v>
      </c>
      <c r="D665" s="4">
        <f t="shared" si="10"/>
        <v>4.8000000000000004E-3</v>
      </c>
    </row>
    <row r="666" spans="1:4" x14ac:dyDescent="0.2">
      <c r="A666" s="4">
        <v>763</v>
      </c>
      <c r="B666" s="4">
        <v>5.4000000000000003E-3</v>
      </c>
      <c r="C666" s="4">
        <v>5.0000000000000001E-4</v>
      </c>
      <c r="D666" s="4">
        <f t="shared" si="10"/>
        <v>4.8999999999999998E-3</v>
      </c>
    </row>
    <row r="667" spans="1:4" x14ac:dyDescent="0.2">
      <c r="A667" s="4">
        <v>764</v>
      </c>
      <c r="B667" s="4">
        <v>5.4000000000000003E-3</v>
      </c>
      <c r="C667" s="4">
        <v>5.0000000000000001E-4</v>
      </c>
      <c r="D667" s="4">
        <f t="shared" si="10"/>
        <v>4.8999999999999998E-3</v>
      </c>
    </row>
    <row r="668" spans="1:4" x14ac:dyDescent="0.2">
      <c r="A668" s="4">
        <v>765</v>
      </c>
      <c r="B668" s="4">
        <v>5.4000000000000003E-3</v>
      </c>
      <c r="C668" s="4">
        <v>5.0000000000000001E-4</v>
      </c>
      <c r="D668" s="4">
        <f t="shared" si="10"/>
        <v>4.8999999999999998E-3</v>
      </c>
    </row>
    <row r="669" spans="1:4" x14ac:dyDescent="0.2">
      <c r="A669" s="4">
        <v>766</v>
      </c>
      <c r="B669" s="4">
        <v>5.4999999999999997E-3</v>
      </c>
      <c r="C669" s="4">
        <v>5.0000000000000001E-4</v>
      </c>
      <c r="D669" s="4">
        <f t="shared" si="10"/>
        <v>4.9999999999999992E-3</v>
      </c>
    </row>
    <row r="670" spans="1:4" x14ac:dyDescent="0.2">
      <c r="A670" s="4">
        <v>767</v>
      </c>
      <c r="B670" s="4">
        <v>5.4999999999999997E-3</v>
      </c>
      <c r="C670" s="4">
        <v>5.0000000000000001E-4</v>
      </c>
      <c r="D670" s="4">
        <f t="shared" si="10"/>
        <v>4.9999999999999992E-3</v>
      </c>
    </row>
    <row r="671" spans="1:4" x14ac:dyDescent="0.2">
      <c r="A671" s="4">
        <v>768</v>
      </c>
      <c r="B671" s="4">
        <v>5.4999999999999997E-3</v>
      </c>
      <c r="C671" s="4">
        <v>5.0000000000000001E-4</v>
      </c>
      <c r="D671" s="4">
        <f t="shared" si="10"/>
        <v>4.9999999999999992E-3</v>
      </c>
    </row>
    <row r="672" spans="1:4" x14ac:dyDescent="0.2">
      <c r="A672" s="4">
        <v>769</v>
      </c>
      <c r="B672" s="4">
        <v>5.5999999999999999E-3</v>
      </c>
      <c r="C672" s="4">
        <v>5.0000000000000001E-4</v>
      </c>
      <c r="D672" s="4">
        <f t="shared" si="10"/>
        <v>5.1000000000000004E-3</v>
      </c>
    </row>
    <row r="673" spans="1:4" x14ac:dyDescent="0.2">
      <c r="A673" s="4">
        <v>770</v>
      </c>
      <c r="B673" s="4">
        <v>5.5999999999999999E-3</v>
      </c>
      <c r="C673" s="4">
        <v>5.0000000000000001E-4</v>
      </c>
      <c r="D673" s="4">
        <f t="shared" si="10"/>
        <v>5.1000000000000004E-3</v>
      </c>
    </row>
    <row r="674" spans="1:4" x14ac:dyDescent="0.2">
      <c r="A674" s="4">
        <v>771</v>
      </c>
      <c r="B674" s="4">
        <v>5.5999999999999999E-3</v>
      </c>
      <c r="C674" s="4">
        <v>5.0000000000000001E-4</v>
      </c>
      <c r="D674" s="4">
        <f t="shared" si="10"/>
        <v>5.1000000000000004E-3</v>
      </c>
    </row>
    <row r="675" spans="1:4" x14ac:dyDescent="0.2">
      <c r="A675" s="4">
        <v>772</v>
      </c>
      <c r="B675" s="4">
        <v>5.7000000000000002E-3</v>
      </c>
      <c r="C675" s="4">
        <v>5.0000000000000001E-4</v>
      </c>
      <c r="D675" s="4">
        <f t="shared" si="10"/>
        <v>5.1999999999999998E-3</v>
      </c>
    </row>
    <row r="676" spans="1:4" x14ac:dyDescent="0.2">
      <c r="A676" s="4">
        <v>773</v>
      </c>
      <c r="B676" s="4">
        <v>5.7000000000000002E-3</v>
      </c>
      <c r="C676" s="4">
        <v>5.0000000000000001E-4</v>
      </c>
      <c r="D676" s="4">
        <f t="shared" si="10"/>
        <v>5.1999999999999998E-3</v>
      </c>
    </row>
    <row r="677" spans="1:4" x14ac:dyDescent="0.2">
      <c r="A677" s="4">
        <v>774</v>
      </c>
      <c r="B677" s="4">
        <v>5.7999999999999996E-3</v>
      </c>
      <c r="C677" s="4">
        <v>5.9999999999999995E-4</v>
      </c>
      <c r="D677" s="4">
        <f t="shared" si="10"/>
        <v>5.1999999999999998E-3</v>
      </c>
    </row>
    <row r="678" spans="1:4" x14ac:dyDescent="0.2">
      <c r="A678" s="4">
        <v>775</v>
      </c>
      <c r="B678" s="4">
        <v>5.7999999999999996E-3</v>
      </c>
      <c r="C678" s="4">
        <v>5.9999999999999995E-4</v>
      </c>
      <c r="D678" s="4">
        <f t="shared" si="10"/>
        <v>5.1999999999999998E-3</v>
      </c>
    </row>
    <row r="679" spans="1:4" x14ac:dyDescent="0.2">
      <c r="A679" s="4">
        <v>776</v>
      </c>
      <c r="B679" s="4">
        <v>5.8999999999999999E-3</v>
      </c>
      <c r="C679" s="4">
        <v>5.9999999999999995E-4</v>
      </c>
      <c r="D679" s="4">
        <f t="shared" si="10"/>
        <v>5.3E-3</v>
      </c>
    </row>
    <row r="680" spans="1:4" x14ac:dyDescent="0.2">
      <c r="A680" s="4">
        <v>777</v>
      </c>
      <c r="B680" s="4">
        <v>6.0000000000000001E-3</v>
      </c>
      <c r="C680" s="4">
        <v>5.9999999999999995E-4</v>
      </c>
      <c r="D680" s="4">
        <f t="shared" si="10"/>
        <v>5.4000000000000003E-3</v>
      </c>
    </row>
    <row r="681" spans="1:4" x14ac:dyDescent="0.2">
      <c r="A681" s="4">
        <v>778</v>
      </c>
      <c r="B681" s="4">
        <v>6.1000000000000004E-3</v>
      </c>
      <c r="C681" s="4">
        <v>5.9999999999999995E-4</v>
      </c>
      <c r="D681" s="4">
        <f t="shared" si="10"/>
        <v>5.5000000000000005E-3</v>
      </c>
    </row>
    <row r="682" spans="1:4" x14ac:dyDescent="0.2">
      <c r="A682" s="4">
        <v>779</v>
      </c>
      <c r="B682" s="4">
        <v>6.1999999999999998E-3</v>
      </c>
      <c r="C682" s="4">
        <v>6.9999999999999999E-4</v>
      </c>
      <c r="D682" s="4">
        <f t="shared" si="10"/>
        <v>5.4999999999999997E-3</v>
      </c>
    </row>
    <row r="683" spans="1:4" x14ac:dyDescent="0.2">
      <c r="A683" s="4">
        <v>780</v>
      </c>
      <c r="B683" s="4">
        <v>6.3E-3</v>
      </c>
      <c r="C683" s="4">
        <v>6.9999999999999999E-4</v>
      </c>
      <c r="D683" s="4">
        <f t="shared" si="10"/>
        <v>5.5999999999999999E-3</v>
      </c>
    </row>
    <row r="684" spans="1:4" x14ac:dyDescent="0.2">
      <c r="A684" s="4">
        <v>781</v>
      </c>
      <c r="B684" s="4">
        <v>6.4000000000000003E-3</v>
      </c>
      <c r="C684" s="4">
        <v>6.9999999999999999E-4</v>
      </c>
      <c r="D684" s="4">
        <f t="shared" si="10"/>
        <v>5.7000000000000002E-3</v>
      </c>
    </row>
    <row r="685" spans="1:4" x14ac:dyDescent="0.2">
      <c r="A685" s="4">
        <v>782</v>
      </c>
      <c r="B685" s="4">
        <v>6.4999999999999997E-3</v>
      </c>
      <c r="C685" s="4">
        <v>8.0000000000000004E-4</v>
      </c>
      <c r="D685" s="4">
        <f t="shared" si="10"/>
        <v>5.6999999999999993E-3</v>
      </c>
    </row>
    <row r="686" spans="1:4" x14ac:dyDescent="0.2">
      <c r="A686" s="4">
        <v>783</v>
      </c>
      <c r="B686" s="4">
        <v>6.6E-3</v>
      </c>
      <c r="C686" s="4">
        <v>8.0000000000000004E-4</v>
      </c>
      <c r="D686" s="4">
        <f t="shared" si="10"/>
        <v>5.7999999999999996E-3</v>
      </c>
    </row>
    <row r="687" spans="1:4" x14ac:dyDescent="0.2">
      <c r="A687" s="4">
        <v>784</v>
      </c>
      <c r="B687" s="4">
        <v>6.7000000000000002E-3</v>
      </c>
      <c r="C687" s="4">
        <v>8.0000000000000004E-4</v>
      </c>
      <c r="D687" s="4">
        <f t="shared" si="10"/>
        <v>5.8999999999999999E-3</v>
      </c>
    </row>
    <row r="688" spans="1:4" x14ac:dyDescent="0.2">
      <c r="A688" s="4">
        <v>785</v>
      </c>
      <c r="B688" s="4">
        <v>6.7999999999999996E-3</v>
      </c>
      <c r="C688" s="4">
        <v>8.9999999999999998E-4</v>
      </c>
      <c r="D688" s="4">
        <f t="shared" si="10"/>
        <v>5.8999999999999999E-3</v>
      </c>
    </row>
    <row r="689" spans="1:4" x14ac:dyDescent="0.2">
      <c r="A689" s="4">
        <v>786</v>
      </c>
      <c r="B689" s="4">
        <v>6.8999999999999999E-3</v>
      </c>
      <c r="C689" s="4">
        <v>8.9999999999999998E-4</v>
      </c>
      <c r="D689" s="4">
        <f t="shared" si="10"/>
        <v>6.0000000000000001E-3</v>
      </c>
    </row>
    <row r="690" spans="1:4" x14ac:dyDescent="0.2">
      <c r="A690" s="4">
        <v>787</v>
      </c>
      <c r="B690" s="4">
        <v>7.0000000000000001E-3</v>
      </c>
      <c r="C690" s="4">
        <v>8.9999999999999998E-4</v>
      </c>
      <c r="D690" s="4">
        <f t="shared" si="10"/>
        <v>6.1000000000000004E-3</v>
      </c>
    </row>
    <row r="691" spans="1:4" x14ac:dyDescent="0.2">
      <c r="A691" s="4">
        <v>788</v>
      </c>
      <c r="B691" s="4">
        <v>7.1000000000000004E-3</v>
      </c>
      <c r="C691" s="4">
        <v>8.9999999999999998E-4</v>
      </c>
      <c r="D691" s="4">
        <f t="shared" si="10"/>
        <v>6.2000000000000006E-3</v>
      </c>
    </row>
    <row r="692" spans="1:4" x14ac:dyDescent="0.2">
      <c r="A692" s="4">
        <v>789</v>
      </c>
      <c r="B692" s="4">
        <v>7.3000000000000001E-3</v>
      </c>
      <c r="C692" s="4">
        <v>8.9999999999999998E-4</v>
      </c>
      <c r="D692" s="4">
        <f t="shared" si="10"/>
        <v>6.4000000000000003E-3</v>
      </c>
    </row>
    <row r="693" spans="1:4" x14ac:dyDescent="0.2">
      <c r="A693" s="4">
        <v>790</v>
      </c>
      <c r="B693" s="4">
        <v>7.4000000000000003E-3</v>
      </c>
      <c r="C693" s="4">
        <v>8.9999999999999998E-4</v>
      </c>
      <c r="D693" s="4">
        <f t="shared" si="10"/>
        <v>6.5000000000000006E-3</v>
      </c>
    </row>
    <row r="694" spans="1:4" x14ac:dyDescent="0.2">
      <c r="A694" s="4">
        <v>791</v>
      </c>
      <c r="B694" s="4">
        <v>7.4999999999999997E-3</v>
      </c>
      <c r="C694" s="4">
        <v>1E-3</v>
      </c>
      <c r="D694" s="4">
        <f t="shared" si="10"/>
        <v>6.4999999999999997E-3</v>
      </c>
    </row>
    <row r="695" spans="1:4" x14ac:dyDescent="0.2">
      <c r="A695" s="4">
        <v>792</v>
      </c>
      <c r="B695" s="4">
        <v>7.6E-3</v>
      </c>
      <c r="C695" s="4">
        <v>1E-3</v>
      </c>
      <c r="D695" s="4">
        <f t="shared" si="10"/>
        <v>6.6E-3</v>
      </c>
    </row>
    <row r="696" spans="1:4" x14ac:dyDescent="0.2">
      <c r="A696" s="4">
        <v>793</v>
      </c>
      <c r="B696" s="4">
        <v>7.7000000000000002E-3</v>
      </c>
      <c r="C696" s="4">
        <v>1E-3</v>
      </c>
      <c r="D696" s="4">
        <f t="shared" si="10"/>
        <v>6.7000000000000002E-3</v>
      </c>
    </row>
    <row r="697" spans="1:4" x14ac:dyDescent="0.2">
      <c r="A697" s="4">
        <v>794</v>
      </c>
      <c r="B697" s="4">
        <v>7.9000000000000008E-3</v>
      </c>
      <c r="C697" s="4">
        <v>1E-3</v>
      </c>
      <c r="D697" s="4">
        <f t="shared" si="10"/>
        <v>6.9000000000000008E-3</v>
      </c>
    </row>
    <row r="698" spans="1:4" x14ac:dyDescent="0.2">
      <c r="A698" s="4">
        <v>795</v>
      </c>
      <c r="B698" s="4">
        <v>8.0000000000000002E-3</v>
      </c>
      <c r="C698" s="4">
        <v>1E-3</v>
      </c>
      <c r="D698" s="4">
        <f t="shared" si="10"/>
        <v>7.0000000000000001E-3</v>
      </c>
    </row>
    <row r="699" spans="1:4" x14ac:dyDescent="0.2">
      <c r="A699" s="4">
        <v>796</v>
      </c>
      <c r="B699" s="4">
        <v>8.0999999999999996E-3</v>
      </c>
      <c r="C699" s="4">
        <v>1.1000000000000001E-3</v>
      </c>
      <c r="D699" s="4">
        <f t="shared" si="10"/>
        <v>6.9999999999999993E-3</v>
      </c>
    </row>
    <row r="700" spans="1:4" x14ac:dyDescent="0.2">
      <c r="A700" s="4">
        <v>797</v>
      </c>
      <c r="B700" s="4">
        <v>8.3000000000000001E-3</v>
      </c>
      <c r="C700" s="4">
        <v>1.1000000000000001E-3</v>
      </c>
      <c r="D700" s="4">
        <f t="shared" si="10"/>
        <v>7.1999999999999998E-3</v>
      </c>
    </row>
    <row r="701" spans="1:4" x14ac:dyDescent="0.2">
      <c r="A701" s="4">
        <v>798</v>
      </c>
      <c r="B701" s="4">
        <v>8.3999999999999995E-3</v>
      </c>
      <c r="C701" s="4">
        <v>1.1999999999999999E-3</v>
      </c>
      <c r="D701" s="4">
        <f t="shared" si="10"/>
        <v>7.1999999999999998E-3</v>
      </c>
    </row>
    <row r="702" spans="1:4" x14ac:dyDescent="0.2">
      <c r="A702" s="4">
        <v>799</v>
      </c>
      <c r="B702" s="4">
        <v>8.6E-3</v>
      </c>
      <c r="C702" s="4">
        <v>1.1999999999999999E-3</v>
      </c>
      <c r="D702" s="4">
        <f t="shared" si="10"/>
        <v>7.4000000000000003E-3</v>
      </c>
    </row>
    <row r="703" spans="1:4" x14ac:dyDescent="0.2">
      <c r="A703" s="4">
        <v>800</v>
      </c>
      <c r="B703" s="4">
        <v>8.6999999999999994E-3</v>
      </c>
      <c r="C703" s="4">
        <v>1.2999999999999999E-3</v>
      </c>
      <c r="D703" s="4">
        <f t="shared" si="10"/>
        <v>7.3999999999999995E-3</v>
      </c>
    </row>
    <row r="704" spans="1:4" x14ac:dyDescent="0.2">
      <c r="A704" s="4">
        <v>801</v>
      </c>
      <c r="B704" s="4">
        <v>8.8999999999999999E-3</v>
      </c>
      <c r="C704" s="4">
        <v>1.2999999999999999E-3</v>
      </c>
      <c r="D704" s="4">
        <f t="shared" si="10"/>
        <v>7.6E-3</v>
      </c>
    </row>
    <row r="705" spans="1:4" x14ac:dyDescent="0.2">
      <c r="A705" s="4">
        <v>802</v>
      </c>
      <c r="B705" s="4">
        <v>9.1000000000000004E-3</v>
      </c>
      <c r="C705" s="4">
        <v>1.4E-3</v>
      </c>
      <c r="D705" s="4">
        <f t="shared" si="10"/>
        <v>7.7000000000000002E-3</v>
      </c>
    </row>
    <row r="706" spans="1:4" x14ac:dyDescent="0.2">
      <c r="A706" s="4">
        <v>803</v>
      </c>
      <c r="B706" s="4">
        <v>9.1999999999999998E-3</v>
      </c>
      <c r="C706" s="4">
        <v>1.5E-3</v>
      </c>
      <c r="D706" s="4">
        <f t="shared" si="10"/>
        <v>7.7000000000000002E-3</v>
      </c>
    </row>
    <row r="707" spans="1:4" x14ac:dyDescent="0.2">
      <c r="A707" s="4">
        <v>804</v>
      </c>
      <c r="B707" s="4">
        <v>9.4000000000000004E-3</v>
      </c>
      <c r="C707" s="4">
        <v>1.5E-3</v>
      </c>
      <c r="D707" s="4">
        <f t="shared" ref="D707:D770" si="11">B707-C707</f>
        <v>7.9000000000000008E-3</v>
      </c>
    </row>
    <row r="708" spans="1:4" x14ac:dyDescent="0.2">
      <c r="A708" s="4">
        <v>805</v>
      </c>
      <c r="B708" s="4">
        <v>9.4999999999999998E-3</v>
      </c>
      <c r="C708" s="4">
        <v>1.6000000000000001E-3</v>
      </c>
      <c r="D708" s="4">
        <f t="shared" si="11"/>
        <v>7.899999999999999E-3</v>
      </c>
    </row>
    <row r="709" spans="1:4" x14ac:dyDescent="0.2">
      <c r="A709" s="4">
        <v>806</v>
      </c>
      <c r="B709" s="4">
        <v>9.7000000000000003E-3</v>
      </c>
      <c r="C709" s="4">
        <v>1.6000000000000001E-3</v>
      </c>
      <c r="D709" s="4">
        <f t="shared" si="11"/>
        <v>8.0999999999999996E-3</v>
      </c>
    </row>
    <row r="710" spans="1:4" x14ac:dyDescent="0.2">
      <c r="A710" s="4">
        <v>807</v>
      </c>
      <c r="B710" s="4">
        <v>9.9000000000000008E-3</v>
      </c>
      <c r="C710" s="4">
        <v>1.6999999999999999E-3</v>
      </c>
      <c r="D710" s="4">
        <f t="shared" si="11"/>
        <v>8.2000000000000007E-3</v>
      </c>
    </row>
    <row r="711" spans="1:4" x14ac:dyDescent="0.2">
      <c r="A711" s="4">
        <v>808</v>
      </c>
      <c r="B711" s="4">
        <v>1.01E-2</v>
      </c>
      <c r="C711" s="4">
        <v>1.6999999999999999E-3</v>
      </c>
      <c r="D711" s="4">
        <f t="shared" si="11"/>
        <v>8.3999999999999995E-3</v>
      </c>
    </row>
    <row r="712" spans="1:4" x14ac:dyDescent="0.2">
      <c r="A712" s="4">
        <v>809</v>
      </c>
      <c r="B712" s="4">
        <v>1.0200000000000001E-2</v>
      </c>
      <c r="C712" s="4">
        <v>1.6999999999999999E-3</v>
      </c>
      <c r="D712" s="4">
        <f t="shared" si="11"/>
        <v>8.5000000000000006E-3</v>
      </c>
    </row>
    <row r="713" spans="1:4" x14ac:dyDescent="0.2">
      <c r="A713" s="4">
        <v>810</v>
      </c>
      <c r="B713" s="4">
        <v>1.04E-2</v>
      </c>
      <c r="C713" s="4">
        <v>1.8E-3</v>
      </c>
      <c r="D713" s="4">
        <f t="shared" si="11"/>
        <v>8.6E-3</v>
      </c>
    </row>
    <row r="714" spans="1:4" x14ac:dyDescent="0.2">
      <c r="A714" s="4">
        <v>811</v>
      </c>
      <c r="B714" s="4">
        <v>1.06E-2</v>
      </c>
      <c r="C714" s="4">
        <v>1.8E-3</v>
      </c>
      <c r="D714" s="4">
        <f t="shared" si="11"/>
        <v>8.8000000000000005E-3</v>
      </c>
    </row>
    <row r="715" spans="1:4" x14ac:dyDescent="0.2">
      <c r="A715" s="4">
        <v>812</v>
      </c>
      <c r="B715" s="4">
        <v>1.0800000000000001E-2</v>
      </c>
      <c r="C715" s="4">
        <v>1.8E-3</v>
      </c>
      <c r="D715" s="4">
        <f t="shared" si="11"/>
        <v>9.0000000000000011E-3</v>
      </c>
    </row>
    <row r="716" spans="1:4" x14ac:dyDescent="0.2">
      <c r="A716" s="4">
        <v>813</v>
      </c>
      <c r="B716" s="4">
        <v>1.0999999999999999E-2</v>
      </c>
      <c r="C716" s="4">
        <v>1.9E-3</v>
      </c>
      <c r="D716" s="4">
        <f t="shared" si="11"/>
        <v>9.0999999999999987E-3</v>
      </c>
    </row>
    <row r="717" spans="1:4" x14ac:dyDescent="0.2">
      <c r="A717" s="4">
        <v>814</v>
      </c>
      <c r="B717" s="4">
        <v>1.12E-2</v>
      </c>
      <c r="C717" s="4">
        <v>1.9E-3</v>
      </c>
      <c r="D717" s="4">
        <f t="shared" si="11"/>
        <v>9.2999999999999992E-3</v>
      </c>
    </row>
    <row r="718" spans="1:4" x14ac:dyDescent="0.2">
      <c r="A718" s="4">
        <v>815</v>
      </c>
      <c r="B718" s="4">
        <v>1.14E-2</v>
      </c>
      <c r="C718" s="4">
        <v>1.9E-3</v>
      </c>
      <c r="D718" s="4">
        <f t="shared" si="11"/>
        <v>9.4999999999999998E-3</v>
      </c>
    </row>
    <row r="719" spans="1:4" x14ac:dyDescent="0.2">
      <c r="A719" s="4">
        <v>816</v>
      </c>
      <c r="B719" s="4">
        <v>1.1599999999999999E-2</v>
      </c>
      <c r="C719" s="4">
        <v>2E-3</v>
      </c>
      <c r="D719" s="4">
        <f t="shared" si="11"/>
        <v>9.5999999999999992E-3</v>
      </c>
    </row>
    <row r="720" spans="1:4" x14ac:dyDescent="0.2">
      <c r="A720" s="4">
        <v>817</v>
      </c>
      <c r="B720" s="4">
        <v>1.17E-2</v>
      </c>
      <c r="C720" s="4">
        <v>2.0999999999999999E-3</v>
      </c>
      <c r="D720" s="4">
        <f t="shared" si="11"/>
        <v>9.6000000000000009E-3</v>
      </c>
    </row>
    <row r="721" spans="1:4" x14ac:dyDescent="0.2">
      <c r="A721" s="4">
        <v>818</v>
      </c>
      <c r="B721" s="4">
        <v>1.1900000000000001E-2</v>
      </c>
      <c r="C721" s="4">
        <v>2.0999999999999999E-3</v>
      </c>
      <c r="D721" s="4">
        <f t="shared" si="11"/>
        <v>9.8000000000000014E-3</v>
      </c>
    </row>
    <row r="722" spans="1:4" x14ac:dyDescent="0.2">
      <c r="A722" s="4">
        <v>819</v>
      </c>
      <c r="B722" s="4">
        <v>1.21E-2</v>
      </c>
      <c r="C722" s="4">
        <v>2.2000000000000001E-3</v>
      </c>
      <c r="D722" s="4">
        <f t="shared" si="11"/>
        <v>9.8999999999999991E-3</v>
      </c>
    </row>
    <row r="723" spans="1:4" x14ac:dyDescent="0.2">
      <c r="A723" s="4">
        <v>820</v>
      </c>
      <c r="B723" s="4">
        <v>1.23E-2</v>
      </c>
      <c r="C723" s="4">
        <v>2.3E-3</v>
      </c>
      <c r="D723" s="4">
        <f t="shared" si="11"/>
        <v>0.01</v>
      </c>
    </row>
    <row r="724" spans="1:4" x14ac:dyDescent="0.2">
      <c r="A724" s="4">
        <v>821</v>
      </c>
      <c r="B724" s="4">
        <v>1.24E-2</v>
      </c>
      <c r="C724" s="4">
        <v>2.3999999999999998E-3</v>
      </c>
      <c r="D724" s="4">
        <f t="shared" si="11"/>
        <v>0.01</v>
      </c>
    </row>
    <row r="725" spans="1:4" x14ac:dyDescent="0.2">
      <c r="A725" s="4">
        <v>822</v>
      </c>
      <c r="B725" s="4">
        <v>1.26E-2</v>
      </c>
      <c r="C725" s="4">
        <v>2.5000000000000001E-3</v>
      </c>
      <c r="D725" s="4">
        <f t="shared" si="11"/>
        <v>1.01E-2</v>
      </c>
    </row>
    <row r="726" spans="1:4" x14ac:dyDescent="0.2">
      <c r="A726" s="4">
        <v>823</v>
      </c>
      <c r="B726" s="4">
        <v>1.2800000000000001E-2</v>
      </c>
      <c r="C726" s="4">
        <v>2.5999999999999999E-3</v>
      </c>
      <c r="D726" s="4">
        <f t="shared" si="11"/>
        <v>1.0200000000000001E-2</v>
      </c>
    </row>
    <row r="727" spans="1:4" x14ac:dyDescent="0.2">
      <c r="A727" s="4">
        <v>824</v>
      </c>
      <c r="B727" s="4">
        <v>1.2999999999999999E-2</v>
      </c>
      <c r="C727" s="4">
        <v>2.7000000000000001E-3</v>
      </c>
      <c r="D727" s="4">
        <f t="shared" si="11"/>
        <v>1.03E-2</v>
      </c>
    </row>
    <row r="728" spans="1:4" x14ac:dyDescent="0.2">
      <c r="A728" s="4">
        <v>825</v>
      </c>
      <c r="B728" s="4">
        <v>1.32E-2</v>
      </c>
      <c r="C728" s="4">
        <v>2.8E-3</v>
      </c>
      <c r="D728" s="4">
        <f t="shared" si="11"/>
        <v>1.04E-2</v>
      </c>
    </row>
    <row r="729" spans="1:4" x14ac:dyDescent="0.2">
      <c r="A729" s="4">
        <v>826</v>
      </c>
      <c r="B729" s="4">
        <v>1.34E-2</v>
      </c>
      <c r="C729" s="4">
        <v>2.8999999999999998E-3</v>
      </c>
      <c r="D729" s="4">
        <f t="shared" si="11"/>
        <v>1.0500000000000001E-2</v>
      </c>
    </row>
    <row r="730" spans="1:4" x14ac:dyDescent="0.2">
      <c r="A730" s="4">
        <v>827</v>
      </c>
      <c r="B730" s="4">
        <v>1.3599999999999999E-2</v>
      </c>
      <c r="C730" s="4">
        <v>3.0000000000000001E-3</v>
      </c>
      <c r="D730" s="4">
        <f t="shared" si="11"/>
        <v>1.0599999999999998E-2</v>
      </c>
    </row>
    <row r="731" spans="1:4" x14ac:dyDescent="0.2">
      <c r="A731" s="4">
        <v>828</v>
      </c>
      <c r="B731" s="4">
        <v>1.38E-2</v>
      </c>
      <c r="C731" s="4">
        <v>3.0999999999999999E-3</v>
      </c>
      <c r="D731" s="4">
        <f t="shared" si="11"/>
        <v>1.0699999999999999E-2</v>
      </c>
    </row>
    <row r="732" spans="1:4" x14ac:dyDescent="0.2">
      <c r="A732" s="4">
        <v>829</v>
      </c>
      <c r="B732" s="4">
        <v>1.4E-2</v>
      </c>
      <c r="C732" s="4">
        <v>3.0999999999999999E-3</v>
      </c>
      <c r="D732" s="4">
        <f t="shared" si="11"/>
        <v>1.09E-2</v>
      </c>
    </row>
    <row r="733" spans="1:4" x14ac:dyDescent="0.2">
      <c r="A733" s="4">
        <v>830</v>
      </c>
      <c r="B733" s="4">
        <v>1.4200000000000001E-2</v>
      </c>
      <c r="C733" s="4">
        <v>3.2000000000000002E-3</v>
      </c>
      <c r="D733" s="4">
        <f t="shared" si="11"/>
        <v>1.1000000000000001E-2</v>
      </c>
    </row>
    <row r="734" spans="1:4" x14ac:dyDescent="0.2">
      <c r="A734" s="4">
        <v>831</v>
      </c>
      <c r="B734" s="4">
        <v>1.44E-2</v>
      </c>
      <c r="C734" s="4">
        <v>3.3E-3</v>
      </c>
      <c r="D734" s="4">
        <f t="shared" si="11"/>
        <v>1.1099999999999999E-2</v>
      </c>
    </row>
    <row r="735" spans="1:4" x14ac:dyDescent="0.2">
      <c r="A735" s="4">
        <v>832</v>
      </c>
      <c r="B735" s="4">
        <v>1.46E-2</v>
      </c>
      <c r="C735" s="4">
        <v>3.3999999999999998E-3</v>
      </c>
      <c r="D735" s="4">
        <f t="shared" si="11"/>
        <v>1.12E-2</v>
      </c>
    </row>
    <row r="736" spans="1:4" x14ac:dyDescent="0.2">
      <c r="A736" s="4">
        <v>833</v>
      </c>
      <c r="B736" s="4">
        <v>1.4800000000000001E-2</v>
      </c>
      <c r="C736" s="4">
        <v>3.3999999999999998E-3</v>
      </c>
      <c r="D736" s="4">
        <f t="shared" si="11"/>
        <v>1.14E-2</v>
      </c>
    </row>
    <row r="737" spans="1:4" x14ac:dyDescent="0.2">
      <c r="A737" s="4">
        <v>834</v>
      </c>
      <c r="B737" s="4">
        <v>1.4999999999999999E-2</v>
      </c>
      <c r="C737" s="4">
        <v>3.5000000000000001E-3</v>
      </c>
      <c r="D737" s="4">
        <f t="shared" si="11"/>
        <v>1.15E-2</v>
      </c>
    </row>
    <row r="738" spans="1:4" x14ac:dyDescent="0.2">
      <c r="A738" s="4">
        <v>835</v>
      </c>
      <c r="B738" s="4">
        <v>1.52E-2</v>
      </c>
      <c r="C738" s="4">
        <v>3.5999999999999999E-3</v>
      </c>
      <c r="D738" s="4">
        <f t="shared" si="11"/>
        <v>1.1599999999999999E-2</v>
      </c>
    </row>
    <row r="739" spans="1:4" x14ac:dyDescent="0.2">
      <c r="A739" s="4">
        <v>836</v>
      </c>
      <c r="B739" s="4">
        <v>1.54E-2</v>
      </c>
      <c r="C739" s="4">
        <v>3.7000000000000002E-3</v>
      </c>
      <c r="D739" s="4">
        <f t="shared" si="11"/>
        <v>1.17E-2</v>
      </c>
    </row>
    <row r="740" spans="1:4" x14ac:dyDescent="0.2">
      <c r="A740" s="4">
        <v>837</v>
      </c>
      <c r="B740" s="4">
        <v>1.5599999999999999E-2</v>
      </c>
      <c r="C740" s="4">
        <v>3.7000000000000002E-3</v>
      </c>
      <c r="D740" s="4">
        <f t="shared" si="11"/>
        <v>1.1899999999999999E-2</v>
      </c>
    </row>
    <row r="741" spans="1:4" x14ac:dyDescent="0.2">
      <c r="A741" s="4">
        <v>838</v>
      </c>
      <c r="B741" s="4">
        <v>1.5800000000000002E-2</v>
      </c>
      <c r="C741" s="4">
        <v>3.8E-3</v>
      </c>
      <c r="D741" s="4">
        <f t="shared" si="11"/>
        <v>1.2000000000000002E-2</v>
      </c>
    </row>
    <row r="742" spans="1:4" x14ac:dyDescent="0.2">
      <c r="A742" s="4">
        <v>839</v>
      </c>
      <c r="B742" s="4">
        <v>1.61E-2</v>
      </c>
      <c r="C742" s="4">
        <v>3.8999999999999998E-3</v>
      </c>
      <c r="D742" s="4">
        <f t="shared" si="11"/>
        <v>1.2199999999999999E-2</v>
      </c>
    </row>
    <row r="743" spans="1:4" x14ac:dyDescent="0.2">
      <c r="A743" s="4">
        <v>840</v>
      </c>
      <c r="B743" s="4">
        <v>1.6299999999999999E-2</v>
      </c>
      <c r="C743" s="4">
        <v>4.0000000000000001E-3</v>
      </c>
      <c r="D743" s="4">
        <f t="shared" si="11"/>
        <v>1.2299999999999998E-2</v>
      </c>
    </row>
    <row r="744" spans="1:4" x14ac:dyDescent="0.2">
      <c r="A744" s="4">
        <v>841</v>
      </c>
      <c r="B744" s="4">
        <v>1.6500000000000001E-2</v>
      </c>
      <c r="C744" s="4">
        <v>4.1000000000000003E-3</v>
      </c>
      <c r="D744" s="4">
        <f t="shared" si="11"/>
        <v>1.2400000000000001E-2</v>
      </c>
    </row>
    <row r="745" spans="1:4" x14ac:dyDescent="0.2">
      <c r="A745" s="4">
        <v>842</v>
      </c>
      <c r="B745" s="4">
        <v>1.67E-2</v>
      </c>
      <c r="C745" s="4">
        <v>4.1999999999999997E-3</v>
      </c>
      <c r="D745" s="4">
        <f t="shared" si="11"/>
        <v>1.2500000000000001E-2</v>
      </c>
    </row>
    <row r="746" spans="1:4" x14ac:dyDescent="0.2">
      <c r="A746" s="4">
        <v>843</v>
      </c>
      <c r="B746" s="4">
        <v>1.6899999999999998E-2</v>
      </c>
      <c r="C746" s="4">
        <v>4.1999999999999997E-3</v>
      </c>
      <c r="D746" s="4">
        <f t="shared" si="11"/>
        <v>1.2699999999999999E-2</v>
      </c>
    </row>
    <row r="747" spans="1:4" x14ac:dyDescent="0.2">
      <c r="A747" s="4">
        <v>844</v>
      </c>
      <c r="B747" s="4">
        <v>1.7100000000000001E-2</v>
      </c>
      <c r="C747" s="4">
        <v>4.3E-3</v>
      </c>
      <c r="D747" s="4">
        <f t="shared" si="11"/>
        <v>1.2800000000000001E-2</v>
      </c>
    </row>
    <row r="748" spans="1:4" x14ac:dyDescent="0.2">
      <c r="A748" s="4">
        <v>845</v>
      </c>
      <c r="B748" s="4">
        <v>1.7399999999999999E-2</v>
      </c>
      <c r="C748" s="4">
        <v>4.4000000000000003E-3</v>
      </c>
      <c r="D748" s="4">
        <f t="shared" si="11"/>
        <v>1.2999999999999998E-2</v>
      </c>
    </row>
    <row r="749" spans="1:4" x14ac:dyDescent="0.2">
      <c r="A749" s="4">
        <v>846</v>
      </c>
      <c r="B749" s="4">
        <v>1.7600000000000001E-2</v>
      </c>
      <c r="C749" s="4">
        <v>4.4999999999999997E-3</v>
      </c>
      <c r="D749" s="4">
        <f t="shared" si="11"/>
        <v>1.3100000000000001E-2</v>
      </c>
    </row>
    <row r="750" spans="1:4" x14ac:dyDescent="0.2">
      <c r="A750" s="4">
        <v>847</v>
      </c>
      <c r="B750" s="4">
        <v>1.78E-2</v>
      </c>
      <c r="C750" s="4">
        <v>4.5999999999999999E-3</v>
      </c>
      <c r="D750" s="4">
        <f t="shared" si="11"/>
        <v>1.32E-2</v>
      </c>
    </row>
    <row r="751" spans="1:4" x14ac:dyDescent="0.2">
      <c r="A751" s="4">
        <v>848</v>
      </c>
      <c r="B751" s="4">
        <v>1.8100000000000002E-2</v>
      </c>
      <c r="C751" s="4">
        <v>4.7000000000000002E-3</v>
      </c>
      <c r="D751" s="4">
        <f t="shared" si="11"/>
        <v>1.3400000000000002E-2</v>
      </c>
    </row>
    <row r="752" spans="1:4" x14ac:dyDescent="0.2">
      <c r="A752" s="4">
        <v>849</v>
      </c>
      <c r="B752" s="4">
        <v>1.83E-2</v>
      </c>
      <c r="C752" s="4">
        <v>4.7999999999999996E-3</v>
      </c>
      <c r="D752" s="4">
        <f t="shared" si="11"/>
        <v>1.3500000000000002E-2</v>
      </c>
    </row>
    <row r="753" spans="1:4" x14ac:dyDescent="0.2">
      <c r="A753" s="4">
        <v>850</v>
      </c>
      <c r="B753" s="4">
        <v>1.8499999999999999E-2</v>
      </c>
      <c r="C753" s="4">
        <v>4.8999999999999998E-3</v>
      </c>
      <c r="D753" s="4">
        <f t="shared" si="11"/>
        <v>1.3599999999999999E-2</v>
      </c>
    </row>
    <row r="754" spans="1:4" x14ac:dyDescent="0.2">
      <c r="A754" s="4">
        <v>851</v>
      </c>
      <c r="B754" s="4">
        <v>1.8800000000000001E-2</v>
      </c>
      <c r="C754" s="4">
        <v>5.0000000000000001E-3</v>
      </c>
      <c r="D754" s="4">
        <f t="shared" si="11"/>
        <v>1.38E-2</v>
      </c>
    </row>
    <row r="755" spans="1:4" x14ac:dyDescent="0.2">
      <c r="A755" s="4">
        <v>852</v>
      </c>
      <c r="B755" s="4">
        <v>1.9E-2</v>
      </c>
      <c r="C755" s="4">
        <v>5.1000000000000004E-3</v>
      </c>
      <c r="D755" s="4">
        <f t="shared" si="11"/>
        <v>1.3899999999999999E-2</v>
      </c>
    </row>
    <row r="756" spans="1:4" x14ac:dyDescent="0.2">
      <c r="A756" s="4">
        <v>853</v>
      </c>
      <c r="B756" s="4">
        <v>1.9300000000000001E-2</v>
      </c>
      <c r="C756" s="4">
        <v>5.1999999999999998E-3</v>
      </c>
      <c r="D756" s="4">
        <f t="shared" si="11"/>
        <v>1.4100000000000001E-2</v>
      </c>
    </row>
    <row r="757" spans="1:4" x14ac:dyDescent="0.2">
      <c r="A757" s="4">
        <v>854</v>
      </c>
      <c r="B757" s="4">
        <v>1.95E-2</v>
      </c>
      <c r="C757" s="4">
        <v>5.3E-3</v>
      </c>
      <c r="D757" s="4">
        <f t="shared" si="11"/>
        <v>1.4200000000000001E-2</v>
      </c>
    </row>
    <row r="758" spans="1:4" x14ac:dyDescent="0.2">
      <c r="A758" s="4">
        <v>855</v>
      </c>
      <c r="B758" s="4">
        <v>1.9800000000000002E-2</v>
      </c>
      <c r="C758" s="4">
        <v>5.4000000000000003E-3</v>
      </c>
      <c r="D758" s="4">
        <f t="shared" si="11"/>
        <v>1.4400000000000001E-2</v>
      </c>
    </row>
    <row r="759" spans="1:4" x14ac:dyDescent="0.2">
      <c r="A759" s="4">
        <v>856</v>
      </c>
      <c r="B759" s="4">
        <v>0.02</v>
      </c>
      <c r="C759" s="4">
        <v>5.4999999999999997E-3</v>
      </c>
      <c r="D759" s="4">
        <f t="shared" si="11"/>
        <v>1.4500000000000001E-2</v>
      </c>
    </row>
    <row r="760" spans="1:4" x14ac:dyDescent="0.2">
      <c r="A760" s="4">
        <v>857</v>
      </c>
      <c r="B760" s="4">
        <v>2.0299999999999999E-2</v>
      </c>
      <c r="C760" s="4">
        <v>5.7000000000000002E-3</v>
      </c>
      <c r="D760" s="4">
        <f t="shared" si="11"/>
        <v>1.4599999999999998E-2</v>
      </c>
    </row>
    <row r="761" spans="1:4" x14ac:dyDescent="0.2">
      <c r="A761" s="4">
        <v>858</v>
      </c>
      <c r="B761" s="4">
        <v>2.0500000000000001E-2</v>
      </c>
      <c r="C761" s="4">
        <v>5.7999999999999996E-3</v>
      </c>
      <c r="D761" s="4">
        <f t="shared" si="11"/>
        <v>1.4700000000000001E-2</v>
      </c>
    </row>
    <row r="762" spans="1:4" x14ac:dyDescent="0.2">
      <c r="A762" s="4">
        <v>859</v>
      </c>
      <c r="B762" s="4">
        <v>2.0799999999999999E-2</v>
      </c>
      <c r="C762" s="4">
        <v>5.8999999999999999E-3</v>
      </c>
      <c r="D762" s="4">
        <f t="shared" si="11"/>
        <v>1.49E-2</v>
      </c>
    </row>
    <row r="763" spans="1:4" x14ac:dyDescent="0.2">
      <c r="A763" s="4">
        <v>860</v>
      </c>
      <c r="B763" s="4">
        <v>2.1100000000000001E-2</v>
      </c>
      <c r="C763" s="4">
        <v>6.0000000000000001E-3</v>
      </c>
      <c r="D763" s="4">
        <f t="shared" si="11"/>
        <v>1.5100000000000001E-2</v>
      </c>
    </row>
    <row r="764" spans="1:4" x14ac:dyDescent="0.2">
      <c r="A764" s="4">
        <v>861</v>
      </c>
      <c r="B764" s="4">
        <v>2.1299999999999999E-2</v>
      </c>
      <c r="C764" s="4">
        <v>6.1000000000000004E-3</v>
      </c>
      <c r="D764" s="4">
        <f t="shared" si="11"/>
        <v>1.5199999999999998E-2</v>
      </c>
    </row>
    <row r="765" spans="1:4" x14ac:dyDescent="0.2">
      <c r="A765" s="4">
        <v>862</v>
      </c>
      <c r="B765" s="4">
        <v>2.1600000000000001E-2</v>
      </c>
      <c r="C765" s="4">
        <v>6.3E-3</v>
      </c>
      <c r="D765" s="4">
        <f t="shared" si="11"/>
        <v>1.5300000000000001E-2</v>
      </c>
    </row>
    <row r="766" spans="1:4" x14ac:dyDescent="0.2">
      <c r="A766" s="4">
        <v>863</v>
      </c>
      <c r="B766" s="4">
        <v>2.1899999999999999E-2</v>
      </c>
      <c r="C766" s="4">
        <v>6.4000000000000003E-3</v>
      </c>
      <c r="D766" s="4">
        <f t="shared" si="11"/>
        <v>1.55E-2</v>
      </c>
    </row>
    <row r="767" spans="1:4" x14ac:dyDescent="0.2">
      <c r="A767" s="4">
        <v>864</v>
      </c>
      <c r="B767" s="4">
        <v>2.2200000000000001E-2</v>
      </c>
      <c r="C767" s="4">
        <v>6.4999999999999997E-3</v>
      </c>
      <c r="D767" s="4">
        <f t="shared" si="11"/>
        <v>1.5700000000000002E-2</v>
      </c>
    </row>
    <row r="768" spans="1:4" x14ac:dyDescent="0.2">
      <c r="A768" s="4">
        <v>865</v>
      </c>
      <c r="B768" s="4">
        <v>2.24E-2</v>
      </c>
      <c r="C768" s="4">
        <v>6.7000000000000002E-3</v>
      </c>
      <c r="D768" s="4">
        <f t="shared" si="11"/>
        <v>1.5699999999999999E-2</v>
      </c>
    </row>
    <row r="769" spans="1:4" x14ac:dyDescent="0.2">
      <c r="A769" s="4">
        <v>866</v>
      </c>
      <c r="B769" s="4">
        <v>2.2700000000000001E-2</v>
      </c>
      <c r="C769" s="4">
        <v>6.7999999999999996E-3</v>
      </c>
      <c r="D769" s="4">
        <f t="shared" si="11"/>
        <v>1.5900000000000001E-2</v>
      </c>
    </row>
    <row r="770" spans="1:4" x14ac:dyDescent="0.2">
      <c r="A770" s="4">
        <v>867</v>
      </c>
      <c r="B770" s="4">
        <v>2.3E-2</v>
      </c>
      <c r="C770" s="4">
        <v>6.8999999999999999E-3</v>
      </c>
      <c r="D770" s="4">
        <f t="shared" si="11"/>
        <v>1.61E-2</v>
      </c>
    </row>
    <row r="771" spans="1:4" x14ac:dyDescent="0.2">
      <c r="A771" s="4">
        <v>868</v>
      </c>
      <c r="B771" s="4">
        <v>2.3300000000000001E-2</v>
      </c>
      <c r="C771" s="4">
        <v>7.1000000000000004E-3</v>
      </c>
      <c r="D771" s="4">
        <f t="shared" ref="D771:D834" si="12">B771-C771</f>
        <v>1.6199999999999999E-2</v>
      </c>
    </row>
    <row r="772" spans="1:4" x14ac:dyDescent="0.2">
      <c r="A772" s="4">
        <v>869</v>
      </c>
      <c r="B772" s="4">
        <v>2.3599999999999999E-2</v>
      </c>
      <c r="C772" s="4">
        <v>7.1999999999999998E-3</v>
      </c>
      <c r="D772" s="4">
        <f t="shared" si="12"/>
        <v>1.6399999999999998E-2</v>
      </c>
    </row>
    <row r="773" spans="1:4" x14ac:dyDescent="0.2">
      <c r="A773" s="4">
        <v>870</v>
      </c>
      <c r="B773" s="4">
        <v>2.3900000000000001E-2</v>
      </c>
      <c r="C773" s="4">
        <v>7.4000000000000003E-3</v>
      </c>
      <c r="D773" s="4">
        <f t="shared" si="12"/>
        <v>1.6500000000000001E-2</v>
      </c>
    </row>
    <row r="774" spans="1:4" x14ac:dyDescent="0.2">
      <c r="A774" s="4">
        <v>871</v>
      </c>
      <c r="B774" s="4">
        <v>2.4199999999999999E-2</v>
      </c>
      <c r="C774" s="4">
        <v>7.4999999999999997E-3</v>
      </c>
      <c r="D774" s="4">
        <f t="shared" si="12"/>
        <v>1.67E-2</v>
      </c>
    </row>
    <row r="775" spans="1:4" x14ac:dyDescent="0.2">
      <c r="A775" s="4">
        <v>872</v>
      </c>
      <c r="B775" s="4">
        <v>2.4500000000000001E-2</v>
      </c>
      <c r="C775" s="4">
        <v>7.7000000000000002E-3</v>
      </c>
      <c r="D775" s="4">
        <f t="shared" si="12"/>
        <v>1.6800000000000002E-2</v>
      </c>
    </row>
    <row r="776" spans="1:4" x14ac:dyDescent="0.2">
      <c r="A776" s="4">
        <v>873</v>
      </c>
      <c r="B776" s="4">
        <v>2.4799999999999999E-2</v>
      </c>
      <c r="C776" s="4">
        <v>7.7999999999999996E-3</v>
      </c>
      <c r="D776" s="4">
        <f t="shared" si="12"/>
        <v>1.7000000000000001E-2</v>
      </c>
    </row>
    <row r="777" spans="1:4" x14ac:dyDescent="0.2">
      <c r="A777" s="4">
        <v>874</v>
      </c>
      <c r="B777" s="4">
        <v>2.5100000000000001E-2</v>
      </c>
      <c r="C777" s="4">
        <v>8.0000000000000002E-3</v>
      </c>
      <c r="D777" s="4">
        <f t="shared" si="12"/>
        <v>1.7100000000000001E-2</v>
      </c>
    </row>
    <row r="778" spans="1:4" x14ac:dyDescent="0.2">
      <c r="A778" s="4">
        <v>875</v>
      </c>
      <c r="B778" s="4">
        <v>2.5399999999999999E-2</v>
      </c>
      <c r="C778" s="4">
        <v>8.0999999999999996E-3</v>
      </c>
      <c r="D778" s="4">
        <f t="shared" si="12"/>
        <v>1.7299999999999999E-2</v>
      </c>
    </row>
    <row r="779" spans="1:4" x14ac:dyDescent="0.2">
      <c r="A779" s="4">
        <v>876</v>
      </c>
      <c r="B779" s="4">
        <v>2.5700000000000001E-2</v>
      </c>
      <c r="C779" s="4">
        <v>8.3000000000000001E-3</v>
      </c>
      <c r="D779" s="4">
        <f t="shared" si="12"/>
        <v>1.7399999999999999E-2</v>
      </c>
    </row>
    <row r="780" spans="1:4" x14ac:dyDescent="0.2">
      <c r="A780" s="4">
        <v>877</v>
      </c>
      <c r="B780" s="4">
        <v>2.6100000000000002E-2</v>
      </c>
      <c r="C780" s="4">
        <v>8.3999999999999995E-3</v>
      </c>
      <c r="D780" s="4">
        <f t="shared" si="12"/>
        <v>1.77E-2</v>
      </c>
    </row>
    <row r="781" spans="1:4" x14ac:dyDescent="0.2">
      <c r="A781" s="4">
        <v>878</v>
      </c>
      <c r="B781" s="4">
        <v>2.64E-2</v>
      </c>
      <c r="C781" s="4">
        <v>8.6E-3</v>
      </c>
      <c r="D781" s="4">
        <f t="shared" si="12"/>
        <v>1.78E-2</v>
      </c>
    </row>
    <row r="782" spans="1:4" x14ac:dyDescent="0.2">
      <c r="A782" s="4">
        <v>879</v>
      </c>
      <c r="B782" s="4">
        <v>2.6700000000000002E-2</v>
      </c>
      <c r="C782" s="4">
        <v>8.8000000000000005E-3</v>
      </c>
      <c r="D782" s="4">
        <f t="shared" si="12"/>
        <v>1.7899999999999999E-2</v>
      </c>
    </row>
    <row r="783" spans="1:4" x14ac:dyDescent="0.2">
      <c r="A783" s="4">
        <v>880</v>
      </c>
      <c r="B783" s="4">
        <v>2.7E-2</v>
      </c>
      <c r="C783" s="4">
        <v>8.9999999999999993E-3</v>
      </c>
      <c r="D783" s="4">
        <f t="shared" si="12"/>
        <v>1.8000000000000002E-2</v>
      </c>
    </row>
    <row r="784" spans="1:4" x14ac:dyDescent="0.2">
      <c r="A784" s="4">
        <v>881</v>
      </c>
      <c r="B784" s="4">
        <v>2.7400000000000001E-2</v>
      </c>
      <c r="C784" s="4">
        <v>9.1000000000000004E-3</v>
      </c>
      <c r="D784" s="4">
        <f t="shared" si="12"/>
        <v>1.83E-2</v>
      </c>
    </row>
    <row r="785" spans="1:4" x14ac:dyDescent="0.2">
      <c r="A785" s="4">
        <v>882</v>
      </c>
      <c r="B785" s="4">
        <v>2.7699999999999999E-2</v>
      </c>
      <c r="C785" s="4">
        <v>9.2999999999999992E-3</v>
      </c>
      <c r="D785" s="4">
        <f t="shared" si="12"/>
        <v>1.84E-2</v>
      </c>
    </row>
    <row r="786" spans="1:4" x14ac:dyDescent="0.2">
      <c r="A786" s="4">
        <v>883</v>
      </c>
      <c r="B786" s="4">
        <v>2.8000000000000001E-2</v>
      </c>
      <c r="C786" s="4">
        <v>9.4999999999999998E-3</v>
      </c>
      <c r="D786" s="4">
        <f t="shared" si="12"/>
        <v>1.8500000000000003E-2</v>
      </c>
    </row>
    <row r="787" spans="1:4" x14ac:dyDescent="0.2">
      <c r="A787" s="4">
        <v>884</v>
      </c>
      <c r="B787" s="4">
        <v>2.8400000000000002E-2</v>
      </c>
      <c r="C787" s="4">
        <v>9.7000000000000003E-3</v>
      </c>
      <c r="D787" s="4">
        <f t="shared" si="12"/>
        <v>1.8700000000000001E-2</v>
      </c>
    </row>
    <row r="788" spans="1:4" x14ac:dyDescent="0.2">
      <c r="A788" s="4">
        <v>885</v>
      </c>
      <c r="B788" s="4">
        <v>2.87E-2</v>
      </c>
      <c r="C788" s="4">
        <v>9.9000000000000008E-3</v>
      </c>
      <c r="D788" s="4">
        <f t="shared" si="12"/>
        <v>1.8799999999999997E-2</v>
      </c>
    </row>
    <row r="789" spans="1:4" x14ac:dyDescent="0.2">
      <c r="A789" s="4">
        <v>886</v>
      </c>
      <c r="B789" s="4">
        <v>2.9000000000000001E-2</v>
      </c>
      <c r="C789" s="4">
        <v>0.01</v>
      </c>
      <c r="D789" s="4">
        <f t="shared" si="12"/>
        <v>1.9000000000000003E-2</v>
      </c>
    </row>
    <row r="790" spans="1:4" x14ac:dyDescent="0.2">
      <c r="A790" s="4">
        <v>887</v>
      </c>
      <c r="B790" s="4">
        <v>2.9100000000000001E-2</v>
      </c>
      <c r="C790" s="4">
        <v>1.01E-2</v>
      </c>
      <c r="D790" s="4">
        <f t="shared" si="12"/>
        <v>1.9000000000000003E-2</v>
      </c>
    </row>
    <row r="791" spans="1:4" x14ac:dyDescent="0.2">
      <c r="A791" s="4">
        <v>888</v>
      </c>
      <c r="B791" s="4">
        <v>2.92E-2</v>
      </c>
      <c r="C791" s="4">
        <v>1.03E-2</v>
      </c>
      <c r="D791" s="4">
        <f t="shared" si="12"/>
        <v>1.89E-2</v>
      </c>
    </row>
    <row r="792" spans="1:4" x14ac:dyDescent="0.2">
      <c r="A792" s="4">
        <v>889</v>
      </c>
      <c r="B792" s="4">
        <v>2.92E-2</v>
      </c>
      <c r="C792" s="4">
        <v>1.04E-2</v>
      </c>
      <c r="D792" s="4">
        <f t="shared" si="12"/>
        <v>1.8800000000000001E-2</v>
      </c>
    </row>
    <row r="793" spans="1:4" x14ac:dyDescent="0.2">
      <c r="A793" s="4">
        <v>890</v>
      </c>
      <c r="B793" s="4">
        <v>2.93E-2</v>
      </c>
      <c r="C793" s="4">
        <v>1.0500000000000001E-2</v>
      </c>
      <c r="D793" s="4">
        <f t="shared" si="12"/>
        <v>1.8799999999999997E-2</v>
      </c>
    </row>
    <row r="794" spans="1:4" x14ac:dyDescent="0.2">
      <c r="A794" s="4">
        <v>891</v>
      </c>
      <c r="B794" s="4">
        <v>2.9399999999999999E-2</v>
      </c>
      <c r="C794" s="4">
        <v>1.06E-2</v>
      </c>
      <c r="D794" s="4">
        <f t="shared" si="12"/>
        <v>1.8799999999999997E-2</v>
      </c>
    </row>
    <row r="795" spans="1:4" x14ac:dyDescent="0.2">
      <c r="A795" s="4">
        <v>892</v>
      </c>
      <c r="B795" s="4">
        <v>2.9499999999999998E-2</v>
      </c>
      <c r="C795" s="4">
        <v>1.0699999999999999E-2</v>
      </c>
      <c r="D795" s="4">
        <f t="shared" si="12"/>
        <v>1.8799999999999997E-2</v>
      </c>
    </row>
    <row r="796" spans="1:4" x14ac:dyDescent="0.2">
      <c r="A796" s="4">
        <v>893</v>
      </c>
      <c r="B796" s="4">
        <v>2.9600000000000001E-2</v>
      </c>
      <c r="C796" s="4">
        <v>1.0800000000000001E-2</v>
      </c>
      <c r="D796" s="4">
        <f t="shared" si="12"/>
        <v>1.8800000000000001E-2</v>
      </c>
    </row>
    <row r="797" spans="1:4" x14ac:dyDescent="0.2">
      <c r="A797" s="4">
        <v>894</v>
      </c>
      <c r="B797" s="4">
        <v>2.9700000000000001E-2</v>
      </c>
      <c r="C797" s="4">
        <v>1.09E-2</v>
      </c>
      <c r="D797" s="4">
        <f t="shared" si="12"/>
        <v>1.8800000000000001E-2</v>
      </c>
    </row>
    <row r="798" spans="1:4" x14ac:dyDescent="0.2">
      <c r="A798" s="4">
        <v>895</v>
      </c>
      <c r="B798" s="4">
        <v>2.98E-2</v>
      </c>
      <c r="C798" s="4">
        <v>1.0999999999999999E-2</v>
      </c>
      <c r="D798" s="4">
        <f t="shared" si="12"/>
        <v>1.8800000000000001E-2</v>
      </c>
    </row>
    <row r="799" spans="1:4" x14ac:dyDescent="0.2">
      <c r="A799" s="4">
        <v>896</v>
      </c>
      <c r="B799" s="4">
        <v>2.9899999999999999E-2</v>
      </c>
      <c r="C799" s="4">
        <v>1.11E-2</v>
      </c>
      <c r="D799" s="4">
        <f t="shared" si="12"/>
        <v>1.8799999999999997E-2</v>
      </c>
    </row>
    <row r="800" spans="1:4" x14ac:dyDescent="0.2">
      <c r="A800" s="4">
        <v>897</v>
      </c>
      <c r="B800" s="4">
        <v>0.03</v>
      </c>
      <c r="C800" s="4">
        <v>1.1299999999999999E-2</v>
      </c>
      <c r="D800" s="4">
        <f t="shared" si="12"/>
        <v>1.8700000000000001E-2</v>
      </c>
    </row>
    <row r="801" spans="1:4" x14ac:dyDescent="0.2">
      <c r="A801" s="4">
        <v>898</v>
      </c>
      <c r="B801" s="4">
        <v>3.0099999999999998E-2</v>
      </c>
      <c r="C801" s="4">
        <v>1.14E-2</v>
      </c>
      <c r="D801" s="4">
        <f t="shared" si="12"/>
        <v>1.8699999999999998E-2</v>
      </c>
    </row>
    <row r="802" spans="1:4" x14ac:dyDescent="0.2">
      <c r="A802" s="4">
        <v>899</v>
      </c>
      <c r="B802" s="4">
        <v>3.0099999999999998E-2</v>
      </c>
      <c r="C802" s="4">
        <v>1.15E-2</v>
      </c>
      <c r="D802" s="4">
        <f t="shared" si="12"/>
        <v>1.8599999999999998E-2</v>
      </c>
    </row>
    <row r="803" spans="1:4" x14ac:dyDescent="0.2">
      <c r="A803" s="4">
        <v>900</v>
      </c>
      <c r="B803" s="4">
        <v>3.0200000000000001E-2</v>
      </c>
      <c r="C803" s="4">
        <v>1.1599999999999999E-2</v>
      </c>
      <c r="D803" s="4">
        <f t="shared" si="12"/>
        <v>1.8600000000000002E-2</v>
      </c>
    </row>
    <row r="804" spans="1:4" x14ac:dyDescent="0.2">
      <c r="A804" s="4">
        <v>901</v>
      </c>
      <c r="B804" s="4">
        <v>3.0300000000000001E-2</v>
      </c>
      <c r="C804" s="4">
        <v>1.17E-2</v>
      </c>
      <c r="D804" s="4">
        <f t="shared" si="12"/>
        <v>1.8599999999999998E-2</v>
      </c>
    </row>
    <row r="805" spans="1:4" x14ac:dyDescent="0.2">
      <c r="A805" s="4">
        <v>902</v>
      </c>
      <c r="B805" s="4">
        <v>3.04E-2</v>
      </c>
      <c r="C805" s="4">
        <v>1.1900000000000001E-2</v>
      </c>
      <c r="D805" s="4">
        <f t="shared" si="12"/>
        <v>1.8499999999999999E-2</v>
      </c>
    </row>
    <row r="806" spans="1:4" x14ac:dyDescent="0.2">
      <c r="A806" s="4">
        <v>903</v>
      </c>
      <c r="B806" s="4">
        <v>3.0499999999999999E-2</v>
      </c>
      <c r="C806" s="4">
        <v>1.2E-2</v>
      </c>
      <c r="D806" s="4">
        <f t="shared" si="12"/>
        <v>1.8499999999999999E-2</v>
      </c>
    </row>
    <row r="807" spans="1:4" x14ac:dyDescent="0.2">
      <c r="A807" s="4">
        <v>904</v>
      </c>
      <c r="B807" s="4">
        <v>3.0599999999999999E-2</v>
      </c>
      <c r="C807" s="4">
        <v>1.21E-2</v>
      </c>
      <c r="D807" s="4">
        <f t="shared" si="12"/>
        <v>1.8499999999999999E-2</v>
      </c>
    </row>
    <row r="808" spans="1:4" x14ac:dyDescent="0.2">
      <c r="A808" s="4">
        <v>905</v>
      </c>
      <c r="B808" s="4">
        <v>3.0700000000000002E-2</v>
      </c>
      <c r="C808" s="4">
        <v>1.2200000000000001E-2</v>
      </c>
      <c r="D808" s="4">
        <f t="shared" si="12"/>
        <v>1.8500000000000003E-2</v>
      </c>
    </row>
    <row r="809" spans="1:4" x14ac:dyDescent="0.2">
      <c r="A809" s="4">
        <v>906</v>
      </c>
      <c r="B809" s="4">
        <v>3.0800000000000001E-2</v>
      </c>
      <c r="C809" s="4">
        <v>1.24E-2</v>
      </c>
      <c r="D809" s="4">
        <f t="shared" si="12"/>
        <v>1.84E-2</v>
      </c>
    </row>
    <row r="810" spans="1:4" x14ac:dyDescent="0.2">
      <c r="A810" s="4">
        <v>907</v>
      </c>
      <c r="B810" s="4">
        <v>3.0800000000000001E-2</v>
      </c>
      <c r="C810" s="4">
        <v>1.2500000000000001E-2</v>
      </c>
      <c r="D810" s="4">
        <f t="shared" si="12"/>
        <v>1.83E-2</v>
      </c>
    </row>
    <row r="811" spans="1:4" x14ac:dyDescent="0.2">
      <c r="A811" s="4">
        <v>908</v>
      </c>
      <c r="B811" s="4">
        <v>3.09E-2</v>
      </c>
      <c r="C811" s="4">
        <v>1.26E-2</v>
      </c>
      <c r="D811" s="4">
        <f t="shared" si="12"/>
        <v>1.83E-2</v>
      </c>
    </row>
    <row r="812" spans="1:4" x14ac:dyDescent="0.2">
      <c r="A812" s="4">
        <v>909</v>
      </c>
      <c r="B812" s="4">
        <v>3.1E-2</v>
      </c>
      <c r="C812" s="4">
        <v>1.2699999999999999E-2</v>
      </c>
      <c r="D812" s="4">
        <f t="shared" si="12"/>
        <v>1.83E-2</v>
      </c>
    </row>
    <row r="813" spans="1:4" x14ac:dyDescent="0.2">
      <c r="A813" s="4">
        <v>910</v>
      </c>
      <c r="B813" s="4">
        <v>3.1099999999999999E-2</v>
      </c>
      <c r="C813" s="4">
        <v>1.29E-2</v>
      </c>
      <c r="D813" s="4">
        <f t="shared" si="12"/>
        <v>1.8200000000000001E-2</v>
      </c>
    </row>
    <row r="814" spans="1:4" x14ac:dyDescent="0.2">
      <c r="A814" s="4">
        <v>911</v>
      </c>
      <c r="B814" s="4">
        <v>3.1199999999999999E-2</v>
      </c>
      <c r="C814" s="4">
        <v>1.2999999999999999E-2</v>
      </c>
      <c r="D814" s="4">
        <f t="shared" si="12"/>
        <v>1.8200000000000001E-2</v>
      </c>
    </row>
    <row r="815" spans="1:4" x14ac:dyDescent="0.2">
      <c r="A815" s="4">
        <v>912</v>
      </c>
      <c r="B815" s="4">
        <v>3.1300000000000001E-2</v>
      </c>
      <c r="C815" s="4">
        <v>1.3100000000000001E-2</v>
      </c>
      <c r="D815" s="4">
        <f t="shared" si="12"/>
        <v>1.8200000000000001E-2</v>
      </c>
    </row>
    <row r="816" spans="1:4" x14ac:dyDescent="0.2">
      <c r="A816" s="4">
        <v>913</v>
      </c>
      <c r="B816" s="4">
        <v>3.1199999999999999E-2</v>
      </c>
      <c r="C816" s="4">
        <v>1.32E-2</v>
      </c>
      <c r="D816" s="4">
        <f t="shared" si="12"/>
        <v>1.7999999999999999E-2</v>
      </c>
    </row>
    <row r="817" spans="1:4" x14ac:dyDescent="0.2">
      <c r="A817" s="4">
        <v>914</v>
      </c>
      <c r="B817" s="4">
        <v>3.1199999999999999E-2</v>
      </c>
      <c r="C817" s="4">
        <v>1.3299999999999999E-2</v>
      </c>
      <c r="D817" s="4">
        <f t="shared" si="12"/>
        <v>1.7899999999999999E-2</v>
      </c>
    </row>
    <row r="818" spans="1:4" x14ac:dyDescent="0.2">
      <c r="A818" s="4">
        <v>915</v>
      </c>
      <c r="B818" s="4">
        <v>3.1199999999999999E-2</v>
      </c>
      <c r="C818" s="4">
        <v>1.34E-2</v>
      </c>
      <c r="D818" s="4">
        <f t="shared" si="12"/>
        <v>1.7799999999999996E-2</v>
      </c>
    </row>
    <row r="819" spans="1:4" x14ac:dyDescent="0.2">
      <c r="A819" s="4">
        <v>916</v>
      </c>
      <c r="B819" s="4">
        <v>3.1199999999999999E-2</v>
      </c>
      <c r="C819" s="4">
        <v>1.35E-2</v>
      </c>
      <c r="D819" s="4">
        <f t="shared" si="12"/>
        <v>1.77E-2</v>
      </c>
    </row>
    <row r="820" spans="1:4" x14ac:dyDescent="0.2">
      <c r="A820" s="4">
        <v>917</v>
      </c>
      <c r="B820" s="4">
        <v>3.1099999999999999E-2</v>
      </c>
      <c r="C820" s="4">
        <v>1.3599999999999999E-2</v>
      </c>
      <c r="D820" s="4">
        <f t="shared" si="12"/>
        <v>1.7500000000000002E-2</v>
      </c>
    </row>
    <row r="821" spans="1:4" x14ac:dyDescent="0.2">
      <c r="A821" s="4">
        <v>918</v>
      </c>
      <c r="B821" s="4">
        <v>3.1099999999999999E-2</v>
      </c>
      <c r="C821" s="4">
        <v>1.37E-2</v>
      </c>
      <c r="D821" s="4">
        <f t="shared" si="12"/>
        <v>1.7399999999999999E-2</v>
      </c>
    </row>
    <row r="822" spans="1:4" x14ac:dyDescent="0.2">
      <c r="A822" s="4">
        <v>919</v>
      </c>
      <c r="B822" s="4">
        <v>3.1099999999999999E-2</v>
      </c>
      <c r="C822" s="4">
        <v>1.37E-2</v>
      </c>
      <c r="D822" s="4">
        <f t="shared" si="12"/>
        <v>1.7399999999999999E-2</v>
      </c>
    </row>
    <row r="823" spans="1:4" x14ac:dyDescent="0.2">
      <c r="A823" s="4">
        <v>920</v>
      </c>
      <c r="B823" s="4">
        <v>3.1099999999999999E-2</v>
      </c>
      <c r="C823" s="4">
        <v>1.38E-2</v>
      </c>
      <c r="D823" s="4">
        <f t="shared" si="12"/>
        <v>1.7299999999999999E-2</v>
      </c>
    </row>
    <row r="824" spans="1:4" x14ac:dyDescent="0.2">
      <c r="A824" s="4">
        <v>921</v>
      </c>
      <c r="B824" s="4">
        <v>3.1E-2</v>
      </c>
      <c r="C824" s="4">
        <v>1.3899999999999999E-2</v>
      </c>
      <c r="D824" s="4">
        <f t="shared" si="12"/>
        <v>1.7100000000000001E-2</v>
      </c>
    </row>
    <row r="825" spans="1:4" x14ac:dyDescent="0.2">
      <c r="A825" s="4">
        <v>922</v>
      </c>
      <c r="B825" s="4">
        <v>3.1E-2</v>
      </c>
      <c r="C825" s="4">
        <v>1.4E-2</v>
      </c>
      <c r="D825" s="4">
        <f t="shared" si="12"/>
        <v>1.7000000000000001E-2</v>
      </c>
    </row>
    <row r="826" spans="1:4" x14ac:dyDescent="0.2">
      <c r="A826" s="4">
        <v>923</v>
      </c>
      <c r="B826" s="4">
        <v>3.1E-2</v>
      </c>
      <c r="C826" s="4">
        <v>1.41E-2</v>
      </c>
      <c r="D826" s="4">
        <f t="shared" si="12"/>
        <v>1.6899999999999998E-2</v>
      </c>
    </row>
    <row r="827" spans="1:4" x14ac:dyDescent="0.2">
      <c r="A827" s="4">
        <v>924</v>
      </c>
      <c r="B827" s="4">
        <v>3.1E-2</v>
      </c>
      <c r="C827" s="4">
        <v>1.4200000000000001E-2</v>
      </c>
      <c r="D827" s="4">
        <f t="shared" si="12"/>
        <v>1.6799999999999999E-2</v>
      </c>
    </row>
    <row r="828" spans="1:4" x14ac:dyDescent="0.2">
      <c r="A828" s="4">
        <v>925</v>
      </c>
      <c r="B828" s="4">
        <v>3.1E-2</v>
      </c>
      <c r="C828" s="4">
        <v>1.43E-2</v>
      </c>
      <c r="D828" s="4">
        <f t="shared" si="12"/>
        <v>1.67E-2</v>
      </c>
    </row>
    <row r="829" spans="1:4" x14ac:dyDescent="0.2">
      <c r="A829" s="4">
        <v>926</v>
      </c>
      <c r="B829" s="4">
        <v>3.09E-2</v>
      </c>
      <c r="C829" s="4">
        <v>1.44E-2</v>
      </c>
      <c r="D829" s="4">
        <f t="shared" si="12"/>
        <v>1.6500000000000001E-2</v>
      </c>
    </row>
    <row r="830" spans="1:4" x14ac:dyDescent="0.2">
      <c r="A830" s="4">
        <v>927</v>
      </c>
      <c r="B830" s="4">
        <v>3.09E-2</v>
      </c>
      <c r="C830" s="4">
        <v>1.4500000000000001E-2</v>
      </c>
      <c r="D830" s="4">
        <f t="shared" si="12"/>
        <v>1.6399999999999998E-2</v>
      </c>
    </row>
    <row r="831" spans="1:4" x14ac:dyDescent="0.2">
      <c r="A831" s="4">
        <v>928</v>
      </c>
      <c r="B831" s="4">
        <v>3.09E-2</v>
      </c>
      <c r="C831" s="4">
        <v>1.46E-2</v>
      </c>
      <c r="D831" s="4">
        <f t="shared" si="12"/>
        <v>1.6300000000000002E-2</v>
      </c>
    </row>
    <row r="832" spans="1:4" x14ac:dyDescent="0.2">
      <c r="A832" s="4">
        <v>929</v>
      </c>
      <c r="B832" s="4">
        <v>3.09E-2</v>
      </c>
      <c r="C832" s="4">
        <v>1.47E-2</v>
      </c>
      <c r="D832" s="4">
        <f t="shared" si="12"/>
        <v>1.6199999999999999E-2</v>
      </c>
    </row>
    <row r="833" spans="1:4" x14ac:dyDescent="0.2">
      <c r="A833" s="4">
        <v>930</v>
      </c>
      <c r="B833" s="4">
        <v>3.0800000000000001E-2</v>
      </c>
      <c r="C833" s="4">
        <v>1.4800000000000001E-2</v>
      </c>
      <c r="D833" s="4">
        <f t="shared" si="12"/>
        <v>1.6E-2</v>
      </c>
    </row>
    <row r="834" spans="1:4" x14ac:dyDescent="0.2">
      <c r="A834" s="4">
        <v>931</v>
      </c>
      <c r="B834" s="4">
        <v>3.0800000000000001E-2</v>
      </c>
      <c r="C834" s="4">
        <v>1.49E-2</v>
      </c>
      <c r="D834" s="4">
        <f t="shared" si="12"/>
        <v>1.5900000000000001E-2</v>
      </c>
    </row>
    <row r="835" spans="1:4" x14ac:dyDescent="0.2">
      <c r="A835" s="4">
        <v>932</v>
      </c>
      <c r="B835" s="4">
        <v>3.0800000000000001E-2</v>
      </c>
      <c r="C835" s="4">
        <v>1.4999999999999999E-2</v>
      </c>
      <c r="D835" s="4">
        <f t="shared" ref="D835:D898" si="13">B835-C835</f>
        <v>1.5800000000000002E-2</v>
      </c>
    </row>
    <row r="836" spans="1:4" x14ac:dyDescent="0.2">
      <c r="A836" s="4">
        <v>933</v>
      </c>
      <c r="B836" s="4">
        <v>3.0800000000000001E-2</v>
      </c>
      <c r="C836" s="4">
        <v>1.5100000000000001E-2</v>
      </c>
      <c r="D836" s="4">
        <f t="shared" si="13"/>
        <v>1.5699999999999999E-2</v>
      </c>
    </row>
    <row r="837" spans="1:4" x14ac:dyDescent="0.2">
      <c r="A837" s="4">
        <v>934</v>
      </c>
      <c r="B837" s="4">
        <v>3.0700000000000002E-2</v>
      </c>
      <c r="C837" s="4">
        <v>1.52E-2</v>
      </c>
      <c r="D837" s="4">
        <f t="shared" si="13"/>
        <v>1.5500000000000002E-2</v>
      </c>
    </row>
    <row r="838" spans="1:4" x14ac:dyDescent="0.2">
      <c r="A838" s="4">
        <v>935</v>
      </c>
      <c r="B838" s="4">
        <v>3.0700000000000002E-2</v>
      </c>
      <c r="C838" s="4">
        <v>1.5299999999999999E-2</v>
      </c>
      <c r="D838" s="4">
        <f t="shared" si="13"/>
        <v>1.5400000000000002E-2</v>
      </c>
    </row>
    <row r="839" spans="1:4" x14ac:dyDescent="0.2">
      <c r="A839" s="4">
        <v>936</v>
      </c>
      <c r="B839" s="4">
        <v>3.0700000000000002E-2</v>
      </c>
      <c r="C839" s="4">
        <v>1.54E-2</v>
      </c>
      <c r="D839" s="4">
        <f t="shared" si="13"/>
        <v>1.5300000000000001E-2</v>
      </c>
    </row>
    <row r="840" spans="1:4" x14ac:dyDescent="0.2">
      <c r="A840" s="4">
        <v>937</v>
      </c>
      <c r="B840" s="4">
        <v>3.0599999999999999E-2</v>
      </c>
      <c r="C840" s="4">
        <v>1.55E-2</v>
      </c>
      <c r="D840" s="4">
        <f t="shared" si="13"/>
        <v>1.5099999999999999E-2</v>
      </c>
    </row>
    <row r="841" spans="1:4" x14ac:dyDescent="0.2">
      <c r="A841" s="4">
        <v>938</v>
      </c>
      <c r="B841" s="4">
        <v>3.0599999999999999E-2</v>
      </c>
      <c r="C841" s="4">
        <v>1.5599999999999999E-2</v>
      </c>
      <c r="D841" s="4">
        <f t="shared" si="13"/>
        <v>1.4999999999999999E-2</v>
      </c>
    </row>
    <row r="842" spans="1:4" x14ac:dyDescent="0.2">
      <c r="A842" s="4">
        <v>939</v>
      </c>
      <c r="B842" s="4">
        <v>3.0599999999999999E-2</v>
      </c>
      <c r="C842" s="4">
        <v>1.5699999999999999E-2</v>
      </c>
      <c r="D842" s="4">
        <f t="shared" si="13"/>
        <v>1.49E-2</v>
      </c>
    </row>
    <row r="843" spans="1:4" x14ac:dyDescent="0.2">
      <c r="A843" s="4">
        <v>940</v>
      </c>
      <c r="B843" s="4">
        <v>3.04E-2</v>
      </c>
      <c r="C843" s="4">
        <v>1.5699999999999999E-2</v>
      </c>
      <c r="D843" s="4">
        <f t="shared" si="13"/>
        <v>1.4700000000000001E-2</v>
      </c>
    </row>
    <row r="844" spans="1:4" x14ac:dyDescent="0.2">
      <c r="A844" s="4">
        <v>941</v>
      </c>
      <c r="B844" s="4">
        <v>3.0200000000000001E-2</v>
      </c>
      <c r="C844" s="4">
        <v>1.5699999999999999E-2</v>
      </c>
      <c r="D844" s="4">
        <f t="shared" si="13"/>
        <v>1.4500000000000002E-2</v>
      </c>
    </row>
    <row r="845" spans="1:4" x14ac:dyDescent="0.2">
      <c r="A845" s="4">
        <v>942</v>
      </c>
      <c r="B845" s="4">
        <v>0.03</v>
      </c>
      <c r="C845" s="4">
        <v>1.5800000000000002E-2</v>
      </c>
      <c r="D845" s="4">
        <f t="shared" si="13"/>
        <v>1.4199999999999997E-2</v>
      </c>
    </row>
    <row r="846" spans="1:4" x14ac:dyDescent="0.2">
      <c r="A846" s="4">
        <v>943</v>
      </c>
      <c r="B846" s="4">
        <v>2.98E-2</v>
      </c>
      <c r="C846" s="4">
        <v>1.5800000000000002E-2</v>
      </c>
      <c r="D846" s="4">
        <f t="shared" si="13"/>
        <v>1.3999999999999999E-2</v>
      </c>
    </row>
    <row r="847" spans="1:4" x14ac:dyDescent="0.2">
      <c r="A847" s="4">
        <v>944</v>
      </c>
      <c r="B847" s="4">
        <v>2.9600000000000001E-2</v>
      </c>
      <c r="C847" s="4">
        <v>1.5800000000000002E-2</v>
      </c>
      <c r="D847" s="4">
        <f t="shared" si="13"/>
        <v>1.38E-2</v>
      </c>
    </row>
    <row r="848" spans="1:4" x14ac:dyDescent="0.2">
      <c r="A848" s="4">
        <v>945</v>
      </c>
      <c r="B848" s="4">
        <v>2.9399999999999999E-2</v>
      </c>
      <c r="C848" s="4">
        <v>1.5800000000000002E-2</v>
      </c>
      <c r="D848" s="4">
        <f t="shared" si="13"/>
        <v>1.3599999999999998E-2</v>
      </c>
    </row>
    <row r="849" spans="1:4" x14ac:dyDescent="0.2">
      <c r="A849" s="4">
        <v>946</v>
      </c>
      <c r="B849" s="4">
        <v>2.92E-2</v>
      </c>
      <c r="C849" s="4">
        <v>1.5800000000000002E-2</v>
      </c>
      <c r="D849" s="4">
        <f t="shared" si="13"/>
        <v>1.3399999999999999E-2</v>
      </c>
    </row>
    <row r="850" spans="1:4" x14ac:dyDescent="0.2">
      <c r="A850" s="4">
        <v>947</v>
      </c>
      <c r="B850" s="4">
        <v>2.9000000000000001E-2</v>
      </c>
      <c r="C850" s="4">
        <v>1.5800000000000002E-2</v>
      </c>
      <c r="D850" s="4">
        <f t="shared" si="13"/>
        <v>1.32E-2</v>
      </c>
    </row>
    <row r="851" spans="1:4" x14ac:dyDescent="0.2">
      <c r="A851" s="4">
        <v>948</v>
      </c>
      <c r="B851" s="4">
        <v>2.8799999999999999E-2</v>
      </c>
      <c r="C851" s="4">
        <v>1.5800000000000002E-2</v>
      </c>
      <c r="D851" s="4">
        <f t="shared" si="13"/>
        <v>1.2999999999999998E-2</v>
      </c>
    </row>
    <row r="852" spans="1:4" x14ac:dyDescent="0.2">
      <c r="A852" s="4">
        <v>949</v>
      </c>
      <c r="B852" s="4">
        <v>2.86E-2</v>
      </c>
      <c r="C852" s="4">
        <v>1.5800000000000002E-2</v>
      </c>
      <c r="D852" s="4">
        <f t="shared" si="13"/>
        <v>1.2799999999999999E-2</v>
      </c>
    </row>
    <row r="853" spans="1:4" x14ac:dyDescent="0.2">
      <c r="A853" s="4">
        <v>950</v>
      </c>
      <c r="B853" s="4">
        <v>2.8400000000000002E-2</v>
      </c>
      <c r="C853" s="4">
        <v>1.5800000000000002E-2</v>
      </c>
      <c r="D853" s="4">
        <f t="shared" si="13"/>
        <v>1.26E-2</v>
      </c>
    </row>
    <row r="854" spans="1:4" x14ac:dyDescent="0.2">
      <c r="A854" s="4">
        <v>951</v>
      </c>
      <c r="B854" s="4">
        <v>2.8199999999999999E-2</v>
      </c>
      <c r="C854" s="4">
        <v>1.5800000000000002E-2</v>
      </c>
      <c r="D854" s="4">
        <f t="shared" si="13"/>
        <v>1.2399999999999998E-2</v>
      </c>
    </row>
    <row r="855" spans="1:4" x14ac:dyDescent="0.2">
      <c r="A855" s="4">
        <v>952</v>
      </c>
      <c r="B855" s="4">
        <v>2.8000000000000001E-2</v>
      </c>
      <c r="C855" s="4">
        <v>1.5800000000000002E-2</v>
      </c>
      <c r="D855" s="4">
        <f t="shared" si="13"/>
        <v>1.2199999999999999E-2</v>
      </c>
    </row>
    <row r="856" spans="1:4" x14ac:dyDescent="0.2">
      <c r="A856" s="4">
        <v>953</v>
      </c>
      <c r="B856" s="4">
        <v>2.7799999999999998E-2</v>
      </c>
      <c r="C856" s="4">
        <v>1.5800000000000002E-2</v>
      </c>
      <c r="D856" s="4">
        <f t="shared" si="13"/>
        <v>1.1999999999999997E-2</v>
      </c>
    </row>
    <row r="857" spans="1:4" x14ac:dyDescent="0.2">
      <c r="A857" s="4">
        <v>954</v>
      </c>
      <c r="B857" s="4">
        <v>2.76E-2</v>
      </c>
      <c r="C857" s="4">
        <v>1.5900000000000001E-2</v>
      </c>
      <c r="D857" s="4">
        <f t="shared" si="13"/>
        <v>1.1699999999999999E-2</v>
      </c>
    </row>
    <row r="858" spans="1:4" x14ac:dyDescent="0.2">
      <c r="A858" s="4">
        <v>955</v>
      </c>
      <c r="B858" s="4">
        <v>2.7400000000000001E-2</v>
      </c>
      <c r="C858" s="4">
        <v>1.5900000000000001E-2</v>
      </c>
      <c r="D858" s="4">
        <f t="shared" si="13"/>
        <v>1.15E-2</v>
      </c>
    </row>
    <row r="859" spans="1:4" x14ac:dyDescent="0.2">
      <c r="A859" s="4">
        <v>956</v>
      </c>
      <c r="B859" s="4">
        <v>2.7199999999999998E-2</v>
      </c>
      <c r="C859" s="4">
        <v>1.5900000000000001E-2</v>
      </c>
      <c r="D859" s="4">
        <f t="shared" si="13"/>
        <v>1.1299999999999998E-2</v>
      </c>
    </row>
    <row r="860" spans="1:4" x14ac:dyDescent="0.2">
      <c r="A860" s="4">
        <v>957</v>
      </c>
      <c r="B860" s="4">
        <v>2.7E-2</v>
      </c>
      <c r="C860" s="4">
        <v>1.5900000000000001E-2</v>
      </c>
      <c r="D860" s="4">
        <f t="shared" si="13"/>
        <v>1.1099999999999999E-2</v>
      </c>
    </row>
    <row r="861" spans="1:4" x14ac:dyDescent="0.2">
      <c r="A861" s="4">
        <v>958</v>
      </c>
      <c r="B861" s="4">
        <v>2.6800000000000001E-2</v>
      </c>
      <c r="C861" s="4">
        <v>1.5900000000000001E-2</v>
      </c>
      <c r="D861" s="4">
        <f t="shared" si="13"/>
        <v>1.09E-2</v>
      </c>
    </row>
    <row r="862" spans="1:4" x14ac:dyDescent="0.2">
      <c r="A862" s="4">
        <v>959</v>
      </c>
      <c r="B862" s="4">
        <v>2.6599999999999999E-2</v>
      </c>
      <c r="C862" s="4">
        <v>1.5900000000000001E-2</v>
      </c>
      <c r="D862" s="4">
        <f t="shared" si="13"/>
        <v>1.0699999999999998E-2</v>
      </c>
    </row>
    <row r="863" spans="1:4" x14ac:dyDescent="0.2">
      <c r="A863" s="4">
        <v>960</v>
      </c>
      <c r="B863" s="4">
        <v>2.64E-2</v>
      </c>
      <c r="C863" s="4">
        <v>1.5900000000000001E-2</v>
      </c>
      <c r="D863" s="4">
        <f t="shared" si="13"/>
        <v>1.0499999999999999E-2</v>
      </c>
    </row>
    <row r="864" spans="1:4" x14ac:dyDescent="0.2">
      <c r="A864" s="4">
        <v>961</v>
      </c>
      <c r="B864" s="4">
        <v>2.63E-2</v>
      </c>
      <c r="C864" s="4">
        <v>1.5900000000000001E-2</v>
      </c>
      <c r="D864" s="4">
        <f t="shared" si="13"/>
        <v>1.04E-2</v>
      </c>
    </row>
    <row r="865" spans="1:4" x14ac:dyDescent="0.2">
      <c r="A865" s="4">
        <v>962</v>
      </c>
      <c r="B865" s="4">
        <v>2.6100000000000002E-2</v>
      </c>
      <c r="C865" s="4">
        <v>1.6E-2</v>
      </c>
      <c r="D865" s="4">
        <f t="shared" si="13"/>
        <v>1.0100000000000001E-2</v>
      </c>
    </row>
    <row r="866" spans="1:4" x14ac:dyDescent="0.2">
      <c r="A866" s="4">
        <v>963</v>
      </c>
      <c r="B866" s="4">
        <v>2.5899999999999999E-2</v>
      </c>
      <c r="C866" s="4">
        <v>1.6E-2</v>
      </c>
      <c r="D866" s="4">
        <f t="shared" si="13"/>
        <v>9.8999999999999991E-3</v>
      </c>
    </row>
    <row r="867" spans="1:4" x14ac:dyDescent="0.2">
      <c r="A867" s="4">
        <v>964</v>
      </c>
      <c r="B867" s="4">
        <v>2.5700000000000001E-2</v>
      </c>
      <c r="C867" s="4">
        <v>1.6E-2</v>
      </c>
      <c r="D867" s="4">
        <f t="shared" si="13"/>
        <v>9.7000000000000003E-3</v>
      </c>
    </row>
    <row r="868" spans="1:4" x14ac:dyDescent="0.2">
      <c r="A868" s="4">
        <v>965</v>
      </c>
      <c r="B868" s="4">
        <v>2.5499999999999998E-2</v>
      </c>
      <c r="C868" s="4">
        <v>1.6E-2</v>
      </c>
      <c r="D868" s="4">
        <f t="shared" si="13"/>
        <v>9.499999999999998E-3</v>
      </c>
    </row>
    <row r="869" spans="1:4" x14ac:dyDescent="0.2">
      <c r="A869" s="4">
        <v>966</v>
      </c>
      <c r="B869" s="4">
        <v>2.5399999999999999E-2</v>
      </c>
      <c r="C869" s="4">
        <v>1.6E-2</v>
      </c>
      <c r="D869" s="4">
        <f t="shared" si="13"/>
        <v>9.3999999999999986E-3</v>
      </c>
    </row>
    <row r="870" spans="1:4" x14ac:dyDescent="0.2">
      <c r="A870" s="4">
        <v>967</v>
      </c>
      <c r="B870" s="4">
        <v>2.52E-2</v>
      </c>
      <c r="C870" s="4">
        <v>1.6E-2</v>
      </c>
      <c r="D870" s="4">
        <f t="shared" si="13"/>
        <v>9.1999999999999998E-3</v>
      </c>
    </row>
    <row r="871" spans="1:4" x14ac:dyDescent="0.2">
      <c r="A871" s="4">
        <v>968</v>
      </c>
      <c r="B871" s="4">
        <v>2.5000000000000001E-2</v>
      </c>
      <c r="C871" s="4">
        <v>1.6E-2</v>
      </c>
      <c r="D871" s="4">
        <f t="shared" si="13"/>
        <v>9.0000000000000011E-3</v>
      </c>
    </row>
    <row r="872" spans="1:4" x14ac:dyDescent="0.2">
      <c r="A872" s="4">
        <v>969</v>
      </c>
      <c r="B872" s="4">
        <v>2.4899999999999999E-2</v>
      </c>
      <c r="C872" s="4">
        <v>1.61E-2</v>
      </c>
      <c r="D872" s="4">
        <f t="shared" si="13"/>
        <v>8.7999999999999988E-3</v>
      </c>
    </row>
    <row r="873" spans="1:4" x14ac:dyDescent="0.2">
      <c r="A873" s="4">
        <v>970</v>
      </c>
      <c r="B873" s="4">
        <v>2.47E-2</v>
      </c>
      <c r="C873" s="4">
        <v>1.61E-2</v>
      </c>
      <c r="D873" s="4">
        <f t="shared" si="13"/>
        <v>8.6E-3</v>
      </c>
    </row>
    <row r="874" spans="1:4" x14ac:dyDescent="0.2">
      <c r="A874" s="4">
        <v>971</v>
      </c>
      <c r="B874" s="4">
        <v>2.46E-2</v>
      </c>
      <c r="C874" s="4">
        <v>1.61E-2</v>
      </c>
      <c r="D874" s="4">
        <f t="shared" si="13"/>
        <v>8.5000000000000006E-3</v>
      </c>
    </row>
    <row r="875" spans="1:4" x14ac:dyDescent="0.2">
      <c r="A875" s="4">
        <v>972</v>
      </c>
      <c r="B875" s="4">
        <v>2.4500000000000001E-2</v>
      </c>
      <c r="C875" s="4">
        <v>1.6199999999999999E-2</v>
      </c>
      <c r="D875" s="4">
        <f t="shared" si="13"/>
        <v>8.3000000000000018E-3</v>
      </c>
    </row>
    <row r="876" spans="1:4" x14ac:dyDescent="0.2">
      <c r="A876" s="4">
        <v>973</v>
      </c>
      <c r="B876" s="4">
        <v>2.4299999999999999E-2</v>
      </c>
      <c r="C876" s="4">
        <v>1.6199999999999999E-2</v>
      </c>
      <c r="D876" s="4">
        <f t="shared" si="13"/>
        <v>8.0999999999999996E-3</v>
      </c>
    </row>
    <row r="877" spans="1:4" x14ac:dyDescent="0.2">
      <c r="A877" s="4">
        <v>974</v>
      </c>
      <c r="B877" s="4">
        <v>2.4199999999999999E-2</v>
      </c>
      <c r="C877" s="4">
        <v>1.6299999999999999E-2</v>
      </c>
      <c r="D877" s="4">
        <f t="shared" si="13"/>
        <v>7.9000000000000008E-3</v>
      </c>
    </row>
    <row r="878" spans="1:4" x14ac:dyDescent="0.2">
      <c r="A878" s="4">
        <v>975</v>
      </c>
      <c r="B878" s="4">
        <v>2.41E-2</v>
      </c>
      <c r="C878" s="4">
        <v>1.6299999999999999E-2</v>
      </c>
      <c r="D878" s="4">
        <f t="shared" si="13"/>
        <v>7.8000000000000014E-3</v>
      </c>
    </row>
    <row r="879" spans="1:4" x14ac:dyDescent="0.2">
      <c r="A879" s="4">
        <v>976</v>
      </c>
      <c r="B879" s="4">
        <v>2.4E-2</v>
      </c>
      <c r="C879" s="4">
        <v>1.6400000000000001E-2</v>
      </c>
      <c r="D879" s="4">
        <f t="shared" si="13"/>
        <v>7.5999999999999991E-3</v>
      </c>
    </row>
    <row r="880" spans="1:4" x14ac:dyDescent="0.2">
      <c r="A880" s="4">
        <v>977</v>
      </c>
      <c r="B880" s="4">
        <v>2.3800000000000002E-2</v>
      </c>
      <c r="C880" s="4">
        <v>1.6400000000000001E-2</v>
      </c>
      <c r="D880" s="4">
        <f t="shared" si="13"/>
        <v>7.4000000000000003E-3</v>
      </c>
    </row>
    <row r="881" spans="1:4" x14ac:dyDescent="0.2">
      <c r="A881" s="4">
        <v>978</v>
      </c>
      <c r="B881" s="4">
        <v>2.3699999999999999E-2</v>
      </c>
      <c r="C881" s="4">
        <v>1.6400000000000001E-2</v>
      </c>
      <c r="D881" s="4">
        <f t="shared" si="13"/>
        <v>7.2999999999999975E-3</v>
      </c>
    </row>
    <row r="882" spans="1:4" x14ac:dyDescent="0.2">
      <c r="A882" s="4">
        <v>979</v>
      </c>
      <c r="B882" s="4">
        <v>2.3599999999999999E-2</v>
      </c>
      <c r="C882" s="4">
        <v>1.6500000000000001E-2</v>
      </c>
      <c r="D882" s="4">
        <f t="shared" si="13"/>
        <v>7.0999999999999987E-3</v>
      </c>
    </row>
    <row r="883" spans="1:4" x14ac:dyDescent="0.2">
      <c r="A883" s="4">
        <v>980</v>
      </c>
      <c r="B883" s="4">
        <v>2.35E-2</v>
      </c>
      <c r="C883" s="4">
        <v>1.6500000000000001E-2</v>
      </c>
      <c r="D883" s="4">
        <f t="shared" si="13"/>
        <v>6.9999999999999993E-3</v>
      </c>
    </row>
    <row r="884" spans="1:4" x14ac:dyDescent="0.2">
      <c r="A884" s="4">
        <v>981</v>
      </c>
      <c r="B884" s="4">
        <v>2.3300000000000001E-2</v>
      </c>
      <c r="C884" s="4">
        <v>1.66E-2</v>
      </c>
      <c r="D884" s="4">
        <f t="shared" si="13"/>
        <v>6.7000000000000011E-3</v>
      </c>
    </row>
    <row r="885" spans="1:4" x14ac:dyDescent="0.2">
      <c r="A885" s="4">
        <v>982</v>
      </c>
      <c r="B885" s="4">
        <v>2.3199999999999998E-2</v>
      </c>
      <c r="C885" s="4">
        <v>1.66E-2</v>
      </c>
      <c r="D885" s="4">
        <f t="shared" si="13"/>
        <v>6.5999999999999982E-3</v>
      </c>
    </row>
    <row r="886" spans="1:4" x14ac:dyDescent="0.2">
      <c r="A886" s="4">
        <v>983</v>
      </c>
      <c r="B886" s="4">
        <v>2.3099999999999999E-2</v>
      </c>
      <c r="C886" s="4">
        <v>1.67E-2</v>
      </c>
      <c r="D886" s="4">
        <f t="shared" si="13"/>
        <v>6.3999999999999994E-3</v>
      </c>
    </row>
    <row r="887" spans="1:4" x14ac:dyDescent="0.2">
      <c r="A887" s="4">
        <v>984</v>
      </c>
      <c r="B887" s="4">
        <v>2.3E-2</v>
      </c>
      <c r="C887" s="4">
        <v>1.67E-2</v>
      </c>
      <c r="D887" s="4">
        <f t="shared" si="13"/>
        <v>6.3E-3</v>
      </c>
    </row>
    <row r="888" spans="1:4" x14ac:dyDescent="0.2">
      <c r="A888" s="4">
        <v>985</v>
      </c>
      <c r="B888" s="4">
        <v>2.29E-2</v>
      </c>
      <c r="C888" s="4">
        <v>1.6799999999999999E-2</v>
      </c>
      <c r="D888" s="4">
        <f t="shared" si="13"/>
        <v>6.1000000000000013E-3</v>
      </c>
    </row>
    <row r="889" spans="1:4" x14ac:dyDescent="0.2">
      <c r="A889" s="4">
        <v>986</v>
      </c>
      <c r="B889" s="4">
        <v>2.2700000000000001E-2</v>
      </c>
      <c r="C889" s="4">
        <v>1.6799999999999999E-2</v>
      </c>
      <c r="D889" s="4">
        <f t="shared" si="13"/>
        <v>5.9000000000000025E-3</v>
      </c>
    </row>
    <row r="890" spans="1:4" x14ac:dyDescent="0.2">
      <c r="A890" s="4">
        <v>987</v>
      </c>
      <c r="B890" s="4">
        <v>2.2599999999999999E-2</v>
      </c>
      <c r="C890" s="4">
        <v>1.6899999999999998E-2</v>
      </c>
      <c r="D890" s="4">
        <f t="shared" si="13"/>
        <v>5.7000000000000002E-3</v>
      </c>
    </row>
    <row r="891" spans="1:4" x14ac:dyDescent="0.2">
      <c r="A891" s="4">
        <v>988</v>
      </c>
      <c r="B891" s="4">
        <v>2.2499999999999999E-2</v>
      </c>
      <c r="C891" s="4">
        <v>1.6899999999999998E-2</v>
      </c>
      <c r="D891" s="4">
        <f t="shared" si="13"/>
        <v>5.6000000000000008E-3</v>
      </c>
    </row>
    <row r="892" spans="1:4" x14ac:dyDescent="0.2">
      <c r="A892" s="4">
        <v>989</v>
      </c>
      <c r="B892" s="4">
        <v>2.24E-2</v>
      </c>
      <c r="C892" s="4">
        <v>1.7000000000000001E-2</v>
      </c>
      <c r="D892" s="4">
        <f t="shared" si="13"/>
        <v>5.3999999999999986E-3</v>
      </c>
    </row>
    <row r="893" spans="1:4" x14ac:dyDescent="0.2">
      <c r="A893" s="4">
        <v>990</v>
      </c>
      <c r="B893" s="4">
        <v>2.23E-2</v>
      </c>
      <c r="C893" s="4">
        <v>1.7000000000000001E-2</v>
      </c>
      <c r="D893" s="4">
        <f t="shared" si="13"/>
        <v>5.2999999999999992E-3</v>
      </c>
    </row>
    <row r="894" spans="1:4" x14ac:dyDescent="0.2">
      <c r="A894" s="4">
        <v>991</v>
      </c>
      <c r="B894" s="4">
        <v>2.2200000000000001E-2</v>
      </c>
      <c r="C894" s="4">
        <v>1.7100000000000001E-2</v>
      </c>
      <c r="D894" s="4">
        <f t="shared" si="13"/>
        <v>5.1000000000000004E-3</v>
      </c>
    </row>
    <row r="895" spans="1:4" x14ac:dyDescent="0.2">
      <c r="A895" s="4">
        <v>992</v>
      </c>
      <c r="B895" s="4">
        <v>2.1999999999999999E-2</v>
      </c>
      <c r="C895" s="4">
        <v>1.7100000000000001E-2</v>
      </c>
      <c r="D895" s="4">
        <f t="shared" si="13"/>
        <v>4.8999999999999981E-3</v>
      </c>
    </row>
    <row r="896" spans="1:4" x14ac:dyDescent="0.2">
      <c r="A896" s="4">
        <v>993</v>
      </c>
      <c r="B896" s="4">
        <v>2.1899999999999999E-2</v>
      </c>
      <c r="C896" s="4">
        <v>1.72E-2</v>
      </c>
      <c r="D896" s="4">
        <f t="shared" si="13"/>
        <v>4.6999999999999993E-3</v>
      </c>
    </row>
    <row r="897" spans="1:4" x14ac:dyDescent="0.2">
      <c r="A897" s="4">
        <v>994</v>
      </c>
      <c r="B897" s="4">
        <v>2.18E-2</v>
      </c>
      <c r="C897" s="4">
        <v>1.72E-2</v>
      </c>
      <c r="D897" s="4">
        <f t="shared" si="13"/>
        <v>4.5999999999999999E-3</v>
      </c>
    </row>
    <row r="898" spans="1:4" x14ac:dyDescent="0.2">
      <c r="A898" s="4">
        <v>995</v>
      </c>
      <c r="B898" s="4">
        <v>2.1700000000000001E-2</v>
      </c>
      <c r="C898" s="4">
        <v>1.7299999999999999E-2</v>
      </c>
      <c r="D898" s="4">
        <f t="shared" si="13"/>
        <v>4.4000000000000011E-3</v>
      </c>
    </row>
    <row r="899" spans="1:4" x14ac:dyDescent="0.2">
      <c r="A899" s="4">
        <v>996</v>
      </c>
      <c r="B899" s="4">
        <v>2.1600000000000001E-2</v>
      </c>
      <c r="C899" s="4">
        <v>1.7299999999999999E-2</v>
      </c>
      <c r="D899" s="4">
        <f t="shared" ref="D899:D903" si="14">B899-C899</f>
        <v>4.3000000000000017E-3</v>
      </c>
    </row>
    <row r="900" spans="1:4" x14ac:dyDescent="0.2">
      <c r="A900" s="4">
        <v>997</v>
      </c>
      <c r="B900" s="4">
        <v>2.1499999999999998E-2</v>
      </c>
      <c r="C900" s="4">
        <v>1.7399999999999999E-2</v>
      </c>
      <c r="D900" s="4">
        <f t="shared" si="14"/>
        <v>4.0999999999999995E-3</v>
      </c>
    </row>
    <row r="901" spans="1:4" x14ac:dyDescent="0.2">
      <c r="A901" s="4">
        <v>998</v>
      </c>
      <c r="B901" s="4">
        <v>2.1399999999999999E-2</v>
      </c>
      <c r="C901" s="4">
        <v>1.7399999999999999E-2</v>
      </c>
      <c r="D901" s="4">
        <f t="shared" si="14"/>
        <v>4.0000000000000001E-3</v>
      </c>
    </row>
    <row r="902" spans="1:4" x14ac:dyDescent="0.2">
      <c r="A902" s="4">
        <v>999</v>
      </c>
      <c r="B902" s="4">
        <v>2.1299999999999999E-2</v>
      </c>
      <c r="C902" s="4">
        <v>1.7500000000000002E-2</v>
      </c>
      <c r="D902" s="4">
        <f t="shared" si="14"/>
        <v>3.7999999999999978E-3</v>
      </c>
    </row>
    <row r="903" spans="1:4" x14ac:dyDescent="0.2">
      <c r="A903" s="4">
        <v>1000</v>
      </c>
      <c r="B903" s="4">
        <v>2.12E-2</v>
      </c>
      <c r="C903" s="4">
        <v>1.7600000000000001E-2</v>
      </c>
      <c r="D903" s="4">
        <f t="shared" si="14"/>
        <v>3.599999999999999E-3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002"/>
  <sheetViews>
    <sheetView topLeftCell="A141" workbookViewId="0">
      <selection activeCell="A149" sqref="A149"/>
    </sheetView>
  </sheetViews>
  <sheetFormatPr baseColWidth="10" defaultRowHeight="16" x14ac:dyDescent="0.2"/>
  <sheetData>
    <row r="1" spans="1:2" x14ac:dyDescent="0.2">
      <c r="A1" t="s">
        <v>954</v>
      </c>
      <c r="B1" t="s">
        <v>955</v>
      </c>
    </row>
    <row r="2" spans="1:2" x14ac:dyDescent="0.2">
      <c r="A2">
        <v>100</v>
      </c>
      <c r="B2">
        <v>0</v>
      </c>
    </row>
    <row r="3" spans="1:2" x14ac:dyDescent="0.2">
      <c r="A3">
        <v>101</v>
      </c>
      <c r="B3">
        <v>0</v>
      </c>
    </row>
    <row r="4" spans="1:2" x14ac:dyDescent="0.2">
      <c r="A4">
        <v>102</v>
      </c>
      <c r="B4">
        <v>0</v>
      </c>
    </row>
    <row r="5" spans="1:2" x14ac:dyDescent="0.2">
      <c r="A5">
        <v>103</v>
      </c>
      <c r="B5">
        <v>0</v>
      </c>
    </row>
    <row r="6" spans="1:2" x14ac:dyDescent="0.2">
      <c r="A6">
        <v>104</v>
      </c>
      <c r="B6">
        <v>0</v>
      </c>
    </row>
    <row r="7" spans="1:2" x14ac:dyDescent="0.2">
      <c r="A7">
        <v>105</v>
      </c>
      <c r="B7">
        <v>0</v>
      </c>
    </row>
    <row r="8" spans="1:2" x14ac:dyDescent="0.2">
      <c r="A8">
        <v>106</v>
      </c>
      <c r="B8">
        <v>0</v>
      </c>
    </row>
    <row r="9" spans="1:2" x14ac:dyDescent="0.2">
      <c r="A9">
        <v>107</v>
      </c>
      <c r="B9">
        <v>0</v>
      </c>
    </row>
    <row r="10" spans="1:2" x14ac:dyDescent="0.2">
      <c r="A10">
        <v>108</v>
      </c>
      <c r="B10">
        <v>0</v>
      </c>
    </row>
    <row r="11" spans="1:2" x14ac:dyDescent="0.2">
      <c r="A11">
        <v>109</v>
      </c>
      <c r="B11">
        <v>0</v>
      </c>
    </row>
    <row r="12" spans="1:2" x14ac:dyDescent="0.2">
      <c r="A12">
        <v>110</v>
      </c>
      <c r="B12">
        <v>0</v>
      </c>
    </row>
    <row r="13" spans="1:2" x14ac:dyDescent="0.2">
      <c r="A13">
        <v>111</v>
      </c>
      <c r="B13">
        <v>0</v>
      </c>
    </row>
    <row r="14" spans="1:2" x14ac:dyDescent="0.2">
      <c r="A14">
        <v>112</v>
      </c>
      <c r="B14">
        <v>0</v>
      </c>
    </row>
    <row r="15" spans="1:2" x14ac:dyDescent="0.2">
      <c r="A15">
        <v>113</v>
      </c>
      <c r="B15">
        <v>0</v>
      </c>
    </row>
    <row r="16" spans="1:2" x14ac:dyDescent="0.2">
      <c r="A16">
        <v>114</v>
      </c>
      <c r="B16">
        <v>0</v>
      </c>
    </row>
    <row r="17" spans="1:2" x14ac:dyDescent="0.2">
      <c r="A17">
        <v>115</v>
      </c>
      <c r="B17">
        <v>0</v>
      </c>
    </row>
    <row r="18" spans="1:2" x14ac:dyDescent="0.2">
      <c r="A18">
        <v>116</v>
      </c>
      <c r="B18">
        <v>0</v>
      </c>
    </row>
    <row r="19" spans="1:2" x14ac:dyDescent="0.2">
      <c r="A19">
        <v>117</v>
      </c>
      <c r="B19">
        <v>0</v>
      </c>
    </row>
    <row r="20" spans="1:2" x14ac:dyDescent="0.2">
      <c r="A20">
        <v>118</v>
      </c>
      <c r="B20">
        <v>0</v>
      </c>
    </row>
    <row r="21" spans="1:2" x14ac:dyDescent="0.2">
      <c r="A21">
        <v>119</v>
      </c>
      <c r="B21">
        <v>0</v>
      </c>
    </row>
    <row r="22" spans="1:2" x14ac:dyDescent="0.2">
      <c r="A22">
        <v>120</v>
      </c>
      <c r="B22">
        <v>0</v>
      </c>
    </row>
    <row r="23" spans="1:2" x14ac:dyDescent="0.2">
      <c r="A23">
        <v>121</v>
      </c>
      <c r="B23">
        <v>0</v>
      </c>
    </row>
    <row r="24" spans="1:2" x14ac:dyDescent="0.2">
      <c r="A24">
        <v>122</v>
      </c>
      <c r="B24">
        <v>0</v>
      </c>
    </row>
    <row r="25" spans="1:2" x14ac:dyDescent="0.2">
      <c r="A25">
        <v>123</v>
      </c>
      <c r="B25">
        <v>0</v>
      </c>
    </row>
    <row r="26" spans="1:2" x14ac:dyDescent="0.2">
      <c r="A26">
        <v>124</v>
      </c>
      <c r="B26">
        <v>0</v>
      </c>
    </row>
    <row r="27" spans="1:2" x14ac:dyDescent="0.2">
      <c r="A27">
        <v>125</v>
      </c>
      <c r="B27">
        <v>0</v>
      </c>
    </row>
    <row r="28" spans="1:2" x14ac:dyDescent="0.2">
      <c r="A28">
        <v>126</v>
      </c>
      <c r="B28">
        <v>0</v>
      </c>
    </row>
    <row r="29" spans="1:2" x14ac:dyDescent="0.2">
      <c r="A29">
        <v>127</v>
      </c>
      <c r="B29">
        <v>0</v>
      </c>
    </row>
    <row r="30" spans="1:2" x14ac:dyDescent="0.2">
      <c r="A30">
        <v>128</v>
      </c>
      <c r="B30">
        <v>0</v>
      </c>
    </row>
    <row r="31" spans="1:2" x14ac:dyDescent="0.2">
      <c r="A31">
        <v>129</v>
      </c>
      <c r="B31">
        <v>0</v>
      </c>
    </row>
    <row r="32" spans="1:2" x14ac:dyDescent="0.2">
      <c r="A32">
        <v>130</v>
      </c>
      <c r="B32">
        <v>0</v>
      </c>
    </row>
    <row r="33" spans="1:2" x14ac:dyDescent="0.2">
      <c r="A33">
        <v>131</v>
      </c>
      <c r="B33">
        <v>0</v>
      </c>
    </row>
    <row r="34" spans="1:2" x14ac:dyDescent="0.2">
      <c r="A34">
        <v>132</v>
      </c>
      <c r="B34">
        <v>0</v>
      </c>
    </row>
    <row r="35" spans="1:2" x14ac:dyDescent="0.2">
      <c r="A35">
        <v>133</v>
      </c>
      <c r="B35">
        <v>0</v>
      </c>
    </row>
    <row r="36" spans="1:2" x14ac:dyDescent="0.2">
      <c r="A36">
        <v>134</v>
      </c>
      <c r="B36">
        <v>0</v>
      </c>
    </row>
    <row r="37" spans="1:2" x14ac:dyDescent="0.2">
      <c r="A37">
        <v>135</v>
      </c>
      <c r="B37">
        <v>0</v>
      </c>
    </row>
    <row r="38" spans="1:2" x14ac:dyDescent="0.2">
      <c r="A38">
        <v>136</v>
      </c>
      <c r="B38">
        <v>0</v>
      </c>
    </row>
    <row r="39" spans="1:2" x14ac:dyDescent="0.2">
      <c r="A39">
        <v>137</v>
      </c>
      <c r="B39">
        <v>0</v>
      </c>
    </row>
    <row r="40" spans="1:2" x14ac:dyDescent="0.2">
      <c r="A40">
        <v>138</v>
      </c>
      <c r="B40">
        <v>0</v>
      </c>
    </row>
    <row r="41" spans="1:2" x14ac:dyDescent="0.2">
      <c r="A41">
        <v>139</v>
      </c>
      <c r="B41">
        <v>0</v>
      </c>
    </row>
    <row r="42" spans="1:2" x14ac:dyDescent="0.2">
      <c r="A42">
        <v>140</v>
      </c>
      <c r="B42">
        <v>0</v>
      </c>
    </row>
    <row r="43" spans="1:2" x14ac:dyDescent="0.2">
      <c r="A43">
        <v>141</v>
      </c>
      <c r="B43">
        <v>0</v>
      </c>
    </row>
    <row r="44" spans="1:2" x14ac:dyDescent="0.2">
      <c r="A44">
        <v>142</v>
      </c>
      <c r="B44">
        <v>0</v>
      </c>
    </row>
    <row r="45" spans="1:2" x14ac:dyDescent="0.2">
      <c r="A45">
        <v>143</v>
      </c>
      <c r="B45">
        <v>0</v>
      </c>
    </row>
    <row r="46" spans="1:2" x14ac:dyDescent="0.2">
      <c r="A46">
        <v>144</v>
      </c>
      <c r="B46">
        <v>0</v>
      </c>
    </row>
    <row r="47" spans="1:2" x14ac:dyDescent="0.2">
      <c r="A47">
        <v>145</v>
      </c>
      <c r="B47">
        <v>0</v>
      </c>
    </row>
    <row r="48" spans="1:2" x14ac:dyDescent="0.2">
      <c r="A48">
        <v>146</v>
      </c>
      <c r="B48">
        <v>0</v>
      </c>
    </row>
    <row r="49" spans="1:2" x14ac:dyDescent="0.2">
      <c r="A49">
        <v>147</v>
      </c>
      <c r="B49">
        <v>0</v>
      </c>
    </row>
    <row r="50" spans="1:2" x14ac:dyDescent="0.2">
      <c r="A50">
        <v>148</v>
      </c>
      <c r="B50">
        <v>0</v>
      </c>
    </row>
    <row r="51" spans="1:2" x14ac:dyDescent="0.2">
      <c r="A51">
        <v>149</v>
      </c>
      <c r="B51">
        <v>0</v>
      </c>
    </row>
    <row r="52" spans="1:2" x14ac:dyDescent="0.2">
      <c r="A52">
        <v>150</v>
      </c>
      <c r="B52">
        <v>0</v>
      </c>
    </row>
    <row r="53" spans="1:2" x14ac:dyDescent="0.2">
      <c r="A53">
        <v>151</v>
      </c>
      <c r="B53">
        <v>0</v>
      </c>
    </row>
    <row r="54" spans="1:2" x14ac:dyDescent="0.2">
      <c r="A54">
        <v>152</v>
      </c>
      <c r="B54">
        <v>0</v>
      </c>
    </row>
    <row r="55" spans="1:2" x14ac:dyDescent="0.2">
      <c r="A55">
        <v>153</v>
      </c>
      <c r="B55">
        <v>0</v>
      </c>
    </row>
    <row r="56" spans="1:2" x14ac:dyDescent="0.2">
      <c r="A56">
        <v>154</v>
      </c>
      <c r="B56">
        <v>0</v>
      </c>
    </row>
    <row r="57" spans="1:2" x14ac:dyDescent="0.2">
      <c r="A57">
        <v>155</v>
      </c>
      <c r="B57">
        <v>0</v>
      </c>
    </row>
    <row r="58" spans="1:2" x14ac:dyDescent="0.2">
      <c r="A58">
        <v>156</v>
      </c>
      <c r="B58">
        <v>0</v>
      </c>
    </row>
    <row r="59" spans="1:2" x14ac:dyDescent="0.2">
      <c r="A59">
        <v>157</v>
      </c>
      <c r="B59">
        <v>0</v>
      </c>
    </row>
    <row r="60" spans="1:2" x14ac:dyDescent="0.2">
      <c r="A60">
        <v>158</v>
      </c>
      <c r="B60">
        <v>0</v>
      </c>
    </row>
    <row r="61" spans="1:2" x14ac:dyDescent="0.2">
      <c r="A61">
        <v>159</v>
      </c>
      <c r="B61">
        <v>0</v>
      </c>
    </row>
    <row r="62" spans="1:2" x14ac:dyDescent="0.2">
      <c r="A62">
        <v>160</v>
      </c>
      <c r="B62">
        <v>0</v>
      </c>
    </row>
    <row r="63" spans="1:2" x14ac:dyDescent="0.2">
      <c r="A63">
        <v>161</v>
      </c>
      <c r="B63">
        <v>0</v>
      </c>
    </row>
    <row r="64" spans="1:2" x14ac:dyDescent="0.2">
      <c r="A64">
        <v>162</v>
      </c>
      <c r="B64">
        <v>0</v>
      </c>
    </row>
    <row r="65" spans="1:2" x14ac:dyDescent="0.2">
      <c r="A65">
        <v>163</v>
      </c>
      <c r="B65">
        <v>0</v>
      </c>
    </row>
    <row r="66" spans="1:2" x14ac:dyDescent="0.2">
      <c r="A66">
        <v>164</v>
      </c>
      <c r="B66">
        <v>0</v>
      </c>
    </row>
    <row r="67" spans="1:2" x14ac:dyDescent="0.2">
      <c r="A67">
        <v>165</v>
      </c>
      <c r="B67">
        <v>0</v>
      </c>
    </row>
    <row r="68" spans="1:2" x14ac:dyDescent="0.2">
      <c r="A68">
        <v>166</v>
      </c>
      <c r="B68">
        <v>0</v>
      </c>
    </row>
    <row r="69" spans="1:2" x14ac:dyDescent="0.2">
      <c r="A69">
        <v>167</v>
      </c>
      <c r="B69">
        <v>0</v>
      </c>
    </row>
    <row r="70" spans="1:2" x14ac:dyDescent="0.2">
      <c r="A70">
        <v>168</v>
      </c>
      <c r="B70">
        <v>0</v>
      </c>
    </row>
    <row r="71" spans="1:2" x14ac:dyDescent="0.2">
      <c r="A71">
        <v>169</v>
      </c>
      <c r="B71">
        <v>0</v>
      </c>
    </row>
    <row r="72" spans="1:2" x14ac:dyDescent="0.2">
      <c r="A72">
        <v>170</v>
      </c>
      <c r="B72">
        <v>0</v>
      </c>
    </row>
    <row r="73" spans="1:2" x14ac:dyDescent="0.2">
      <c r="A73">
        <v>171</v>
      </c>
      <c r="B73">
        <v>0</v>
      </c>
    </row>
    <row r="74" spans="1:2" x14ac:dyDescent="0.2">
      <c r="A74">
        <v>172</v>
      </c>
      <c r="B74">
        <v>0</v>
      </c>
    </row>
    <row r="75" spans="1:2" x14ac:dyDescent="0.2">
      <c r="A75">
        <v>173</v>
      </c>
      <c r="B75">
        <v>0</v>
      </c>
    </row>
    <row r="76" spans="1:2" x14ac:dyDescent="0.2">
      <c r="A76">
        <v>174</v>
      </c>
      <c r="B76">
        <v>0</v>
      </c>
    </row>
    <row r="77" spans="1:2" x14ac:dyDescent="0.2">
      <c r="A77">
        <v>175</v>
      </c>
      <c r="B77">
        <v>0</v>
      </c>
    </row>
    <row r="78" spans="1:2" x14ac:dyDescent="0.2">
      <c r="A78">
        <v>176</v>
      </c>
      <c r="B78">
        <v>0</v>
      </c>
    </row>
    <row r="79" spans="1:2" x14ac:dyDescent="0.2">
      <c r="A79">
        <v>177</v>
      </c>
      <c r="B79">
        <v>0</v>
      </c>
    </row>
    <row r="80" spans="1:2" x14ac:dyDescent="0.2">
      <c r="A80">
        <v>178</v>
      </c>
      <c r="B80">
        <v>0</v>
      </c>
    </row>
    <row r="81" spans="1:2" x14ac:dyDescent="0.2">
      <c r="A81">
        <v>179</v>
      </c>
      <c r="B81">
        <v>0</v>
      </c>
    </row>
    <row r="82" spans="1:2" x14ac:dyDescent="0.2">
      <c r="A82">
        <v>180</v>
      </c>
      <c r="B82">
        <v>0</v>
      </c>
    </row>
    <row r="83" spans="1:2" x14ac:dyDescent="0.2">
      <c r="A83">
        <v>181</v>
      </c>
      <c r="B83">
        <v>0</v>
      </c>
    </row>
    <row r="84" spans="1:2" x14ac:dyDescent="0.2">
      <c r="A84">
        <v>182</v>
      </c>
      <c r="B84">
        <v>0</v>
      </c>
    </row>
    <row r="85" spans="1:2" x14ac:dyDescent="0.2">
      <c r="A85">
        <v>183</v>
      </c>
      <c r="B85">
        <v>0</v>
      </c>
    </row>
    <row r="86" spans="1:2" x14ac:dyDescent="0.2">
      <c r="A86">
        <v>184</v>
      </c>
      <c r="B86">
        <v>0</v>
      </c>
    </row>
    <row r="87" spans="1:2" x14ac:dyDescent="0.2">
      <c r="A87">
        <v>185</v>
      </c>
      <c r="B87">
        <v>0</v>
      </c>
    </row>
    <row r="88" spans="1:2" x14ac:dyDescent="0.2">
      <c r="A88">
        <v>186</v>
      </c>
      <c r="B88">
        <v>0</v>
      </c>
    </row>
    <row r="89" spans="1:2" x14ac:dyDescent="0.2">
      <c r="A89">
        <v>187</v>
      </c>
      <c r="B89">
        <v>0</v>
      </c>
    </row>
    <row r="90" spans="1:2" x14ac:dyDescent="0.2">
      <c r="A90">
        <v>188</v>
      </c>
      <c r="B90">
        <v>0</v>
      </c>
    </row>
    <row r="91" spans="1:2" x14ac:dyDescent="0.2">
      <c r="A91">
        <v>189</v>
      </c>
      <c r="B91">
        <v>0</v>
      </c>
    </row>
    <row r="92" spans="1:2" x14ac:dyDescent="0.2">
      <c r="A92">
        <v>190</v>
      </c>
      <c r="B92">
        <v>0</v>
      </c>
    </row>
    <row r="93" spans="1:2" x14ac:dyDescent="0.2">
      <c r="A93">
        <v>191</v>
      </c>
      <c r="B93">
        <v>0</v>
      </c>
    </row>
    <row r="94" spans="1:2" x14ac:dyDescent="0.2">
      <c r="A94">
        <v>192</v>
      </c>
      <c r="B94">
        <v>0</v>
      </c>
    </row>
    <row r="95" spans="1:2" x14ac:dyDescent="0.2">
      <c r="A95">
        <v>193</v>
      </c>
      <c r="B95">
        <v>0</v>
      </c>
    </row>
    <row r="96" spans="1:2" x14ac:dyDescent="0.2">
      <c r="A96">
        <v>194</v>
      </c>
      <c r="B96">
        <v>0</v>
      </c>
    </row>
    <row r="97" spans="1:2" x14ac:dyDescent="0.2">
      <c r="A97">
        <v>195</v>
      </c>
      <c r="B97">
        <v>0</v>
      </c>
    </row>
    <row r="98" spans="1:2" x14ac:dyDescent="0.2">
      <c r="A98">
        <v>196</v>
      </c>
      <c r="B98">
        <v>0</v>
      </c>
    </row>
    <row r="99" spans="1:2" x14ac:dyDescent="0.2">
      <c r="A99">
        <v>197</v>
      </c>
      <c r="B99">
        <v>0</v>
      </c>
    </row>
    <row r="100" spans="1:2" x14ac:dyDescent="0.2">
      <c r="A100">
        <v>198</v>
      </c>
      <c r="B100">
        <v>0</v>
      </c>
    </row>
    <row r="101" spans="1:2" x14ac:dyDescent="0.2">
      <c r="A101">
        <v>199</v>
      </c>
      <c r="B101">
        <v>0</v>
      </c>
    </row>
    <row r="102" spans="1:2" x14ac:dyDescent="0.2">
      <c r="A102">
        <v>200</v>
      </c>
      <c r="B102">
        <v>3.0000000000000001E-5</v>
      </c>
    </row>
    <row r="103" spans="1:2" x14ac:dyDescent="0.2">
      <c r="A103">
        <v>201</v>
      </c>
      <c r="B103">
        <v>4.0000000000000003E-5</v>
      </c>
    </row>
    <row r="104" spans="1:2" x14ac:dyDescent="0.2">
      <c r="A104">
        <v>202</v>
      </c>
      <c r="B104">
        <v>6.9999999999999994E-5</v>
      </c>
    </row>
    <row r="105" spans="1:2" x14ac:dyDescent="0.2">
      <c r="A105">
        <v>203</v>
      </c>
      <c r="B105">
        <v>1.1E-4</v>
      </c>
    </row>
    <row r="106" spans="1:2" x14ac:dyDescent="0.2">
      <c r="A106">
        <v>204</v>
      </c>
      <c r="B106">
        <v>1.7000000000000001E-4</v>
      </c>
    </row>
    <row r="107" spans="1:2" x14ac:dyDescent="0.2">
      <c r="A107">
        <v>205</v>
      </c>
      <c r="B107">
        <v>2.5999999999999998E-4</v>
      </c>
    </row>
    <row r="108" spans="1:2" x14ac:dyDescent="0.2">
      <c r="A108">
        <v>206</v>
      </c>
      <c r="B108">
        <v>4.0999999999999999E-4</v>
      </c>
    </row>
    <row r="109" spans="1:2" x14ac:dyDescent="0.2">
      <c r="A109">
        <v>207</v>
      </c>
      <c r="B109">
        <v>6.4000000000000005E-4</v>
      </c>
    </row>
    <row r="110" spans="1:2" x14ac:dyDescent="0.2">
      <c r="A110">
        <v>208</v>
      </c>
      <c r="B110">
        <v>1E-3</v>
      </c>
    </row>
    <row r="111" spans="1:2" x14ac:dyDescent="0.2">
      <c r="A111">
        <v>209</v>
      </c>
      <c r="B111">
        <v>1.5399999999999999E-3</v>
      </c>
    </row>
    <row r="112" spans="1:2" x14ac:dyDescent="0.2">
      <c r="A112">
        <v>210</v>
      </c>
      <c r="B112">
        <v>2.3700000000000001E-3</v>
      </c>
    </row>
    <row r="113" spans="1:2" x14ac:dyDescent="0.2">
      <c r="A113">
        <v>211</v>
      </c>
      <c r="B113">
        <v>3.5699999999999998E-3</v>
      </c>
    </row>
    <row r="114" spans="1:2" x14ac:dyDescent="0.2">
      <c r="A114">
        <v>212</v>
      </c>
      <c r="B114">
        <v>5.28E-3</v>
      </c>
    </row>
    <row r="115" spans="1:2" x14ac:dyDescent="0.2">
      <c r="A115">
        <v>213</v>
      </c>
      <c r="B115">
        <v>7.5599999999999999E-3</v>
      </c>
    </row>
    <row r="116" spans="1:2" x14ac:dyDescent="0.2">
      <c r="A116">
        <v>214</v>
      </c>
      <c r="B116">
        <v>1.0370000000000001E-2</v>
      </c>
    </row>
    <row r="117" spans="1:2" x14ac:dyDescent="0.2">
      <c r="A117">
        <v>215</v>
      </c>
      <c r="B117">
        <v>1.056E-2</v>
      </c>
    </row>
    <row r="118" spans="1:2" x14ac:dyDescent="0.2">
      <c r="A118">
        <v>216</v>
      </c>
      <c r="B118">
        <v>1.0800000000000001E-2</v>
      </c>
    </row>
    <row r="119" spans="1:2" x14ac:dyDescent="0.2">
      <c r="A119">
        <v>217</v>
      </c>
      <c r="B119">
        <v>1.111E-2</v>
      </c>
    </row>
    <row r="120" spans="1:2" x14ac:dyDescent="0.2">
      <c r="A120">
        <v>218</v>
      </c>
      <c r="B120">
        <v>1.149E-2</v>
      </c>
    </row>
    <row r="121" spans="1:2" x14ac:dyDescent="0.2">
      <c r="A121">
        <v>219</v>
      </c>
      <c r="B121">
        <v>1.196E-2</v>
      </c>
    </row>
    <row r="122" spans="1:2" x14ac:dyDescent="0.2">
      <c r="A122">
        <v>220</v>
      </c>
      <c r="B122">
        <v>1.2529999999999999E-2</v>
      </c>
    </row>
    <row r="123" spans="1:2" x14ac:dyDescent="0.2">
      <c r="A123">
        <v>221</v>
      </c>
      <c r="B123">
        <v>1.3220000000000001E-2</v>
      </c>
    </row>
    <row r="124" spans="1:2" x14ac:dyDescent="0.2">
      <c r="A124">
        <v>222</v>
      </c>
      <c r="B124">
        <v>1.404E-2</v>
      </c>
    </row>
    <row r="125" spans="1:2" x14ac:dyDescent="0.2">
      <c r="A125">
        <v>223</v>
      </c>
      <c r="B125">
        <v>1.503E-2</v>
      </c>
    </row>
    <row r="126" spans="1:2" x14ac:dyDescent="0.2">
      <c r="A126">
        <v>224</v>
      </c>
      <c r="B126">
        <v>1.6199999999999999E-2</v>
      </c>
    </row>
    <row r="127" spans="1:2" x14ac:dyDescent="0.2">
      <c r="A127">
        <v>225</v>
      </c>
      <c r="B127">
        <v>1.7600000000000001E-2</v>
      </c>
    </row>
    <row r="128" spans="1:2" x14ac:dyDescent="0.2">
      <c r="A128">
        <v>226</v>
      </c>
      <c r="B128">
        <v>1.9259999999999999E-2</v>
      </c>
    </row>
    <row r="129" spans="1:2" x14ac:dyDescent="0.2">
      <c r="A129">
        <v>227</v>
      </c>
      <c r="B129">
        <v>2.1219999999999999E-2</v>
      </c>
    </row>
    <row r="130" spans="1:2" x14ac:dyDescent="0.2">
      <c r="A130">
        <v>228</v>
      </c>
      <c r="B130">
        <v>2.3050000000000001E-2</v>
      </c>
    </row>
    <row r="131" spans="1:2" x14ac:dyDescent="0.2">
      <c r="A131">
        <v>229</v>
      </c>
      <c r="B131">
        <v>2.5229999999999999E-2</v>
      </c>
    </row>
    <row r="132" spans="1:2" x14ac:dyDescent="0.2">
      <c r="A132">
        <v>230</v>
      </c>
      <c r="B132">
        <v>2.7830000000000001E-2</v>
      </c>
    </row>
    <row r="133" spans="1:2" x14ac:dyDescent="0.2">
      <c r="A133">
        <v>231</v>
      </c>
      <c r="B133">
        <v>3.0929999999999999E-2</v>
      </c>
    </row>
    <row r="134" spans="1:2" x14ac:dyDescent="0.2">
      <c r="A134">
        <v>232</v>
      </c>
      <c r="B134">
        <v>3.4639999999999997E-2</v>
      </c>
    </row>
    <row r="135" spans="1:2" x14ac:dyDescent="0.2">
      <c r="A135">
        <v>233</v>
      </c>
      <c r="B135">
        <v>3.9100000000000003E-2</v>
      </c>
    </row>
    <row r="136" spans="1:2" x14ac:dyDescent="0.2">
      <c r="A136">
        <v>234</v>
      </c>
      <c r="B136">
        <v>4.4470000000000003E-2</v>
      </c>
    </row>
    <row r="137" spans="1:2" x14ac:dyDescent="0.2">
      <c r="A137">
        <v>235</v>
      </c>
      <c r="B137">
        <v>5.0979999999999998E-2</v>
      </c>
    </row>
    <row r="138" spans="1:2" x14ac:dyDescent="0.2">
      <c r="A138">
        <v>236</v>
      </c>
      <c r="B138">
        <v>5.892E-2</v>
      </c>
    </row>
    <row r="139" spans="1:2" x14ac:dyDescent="0.2">
      <c r="A139">
        <v>237</v>
      </c>
      <c r="B139">
        <v>6.8790000000000004E-2</v>
      </c>
    </row>
    <row r="140" spans="1:2" x14ac:dyDescent="0.2">
      <c r="A140">
        <v>238</v>
      </c>
      <c r="B140">
        <v>8.1019999999999995E-2</v>
      </c>
    </row>
    <row r="141" spans="1:2" x14ac:dyDescent="0.2">
      <c r="A141">
        <v>239</v>
      </c>
      <c r="B141">
        <v>9.6229999999999996E-2</v>
      </c>
    </row>
    <row r="142" spans="1:2" x14ac:dyDescent="0.2">
      <c r="A142">
        <v>240</v>
      </c>
      <c r="B142">
        <v>0.11526</v>
      </c>
    </row>
    <row r="143" spans="1:2" x14ac:dyDescent="0.2">
      <c r="A143">
        <v>241</v>
      </c>
      <c r="B143">
        <v>0.13927999999999999</v>
      </c>
    </row>
    <row r="144" spans="1:2" x14ac:dyDescent="0.2">
      <c r="A144">
        <v>242</v>
      </c>
      <c r="B144">
        <v>0.16914000000000001</v>
      </c>
    </row>
    <row r="145" spans="1:2" x14ac:dyDescent="0.2">
      <c r="A145">
        <v>243</v>
      </c>
      <c r="B145">
        <v>0.20724999999999999</v>
      </c>
    </row>
    <row r="146" spans="1:2" x14ac:dyDescent="0.2">
      <c r="A146">
        <v>244</v>
      </c>
      <c r="B146">
        <v>0.25635000000000002</v>
      </c>
    </row>
    <row r="147" spans="1:2" x14ac:dyDescent="0.2">
      <c r="A147">
        <v>245</v>
      </c>
      <c r="B147">
        <v>0.32018000000000002</v>
      </c>
    </row>
    <row r="148" spans="1:2" x14ac:dyDescent="0.2">
      <c r="A148">
        <v>246</v>
      </c>
      <c r="B148">
        <v>0.40403</v>
      </c>
    </row>
    <row r="149" spans="1:2" x14ac:dyDescent="0.2">
      <c r="A149">
        <v>247</v>
      </c>
      <c r="B149">
        <v>0.51534000000000002</v>
      </c>
    </row>
    <row r="150" spans="1:2" x14ac:dyDescent="0.2">
      <c r="A150">
        <v>248</v>
      </c>
      <c r="B150">
        <v>0.66476000000000002</v>
      </c>
    </row>
    <row r="151" spans="1:2" x14ac:dyDescent="0.2">
      <c r="A151">
        <v>249</v>
      </c>
      <c r="B151">
        <v>0.86738000000000004</v>
      </c>
    </row>
    <row r="152" spans="1:2" x14ac:dyDescent="0.2">
      <c r="A152">
        <v>250</v>
      </c>
      <c r="B152">
        <v>1.1459600000000001</v>
      </c>
    </row>
    <row r="153" spans="1:2" x14ac:dyDescent="0.2">
      <c r="A153">
        <v>251</v>
      </c>
      <c r="B153">
        <v>1.53379</v>
      </c>
    </row>
    <row r="154" spans="1:2" x14ac:dyDescent="0.2">
      <c r="A154">
        <v>252</v>
      </c>
      <c r="B154">
        <v>2.08039</v>
      </c>
    </row>
    <row r="155" spans="1:2" x14ac:dyDescent="0.2">
      <c r="A155">
        <v>253</v>
      </c>
      <c r="B155">
        <v>2.8595700000000002</v>
      </c>
    </row>
    <row r="156" spans="1:2" x14ac:dyDescent="0.2">
      <c r="A156">
        <v>254</v>
      </c>
      <c r="B156">
        <v>3.9805299999999999</v>
      </c>
    </row>
    <row r="157" spans="1:2" x14ac:dyDescent="0.2">
      <c r="A157">
        <v>255</v>
      </c>
      <c r="B157">
        <v>5.6007300000000004</v>
      </c>
    </row>
    <row r="158" spans="1:2" x14ac:dyDescent="0.2">
      <c r="A158">
        <v>256</v>
      </c>
      <c r="B158">
        <v>7.9139299999999997</v>
      </c>
    </row>
    <row r="159" spans="1:2" x14ac:dyDescent="0.2">
      <c r="A159">
        <v>257</v>
      </c>
      <c r="B159">
        <v>11.18502</v>
      </c>
    </row>
    <row r="160" spans="1:2" x14ac:dyDescent="0.2">
      <c r="A160">
        <v>258</v>
      </c>
      <c r="B160">
        <v>15.63161</v>
      </c>
    </row>
    <row r="161" spans="1:2" x14ac:dyDescent="0.2">
      <c r="A161">
        <v>259</v>
      </c>
      <c r="B161">
        <v>21.24654</v>
      </c>
    </row>
    <row r="162" spans="1:2" x14ac:dyDescent="0.2">
      <c r="A162">
        <v>260</v>
      </c>
      <c r="B162">
        <v>27.540030000000002</v>
      </c>
    </row>
    <row r="163" spans="1:2" x14ac:dyDescent="0.2">
      <c r="A163">
        <v>261</v>
      </c>
      <c r="B163">
        <v>33.490549999999999</v>
      </c>
    </row>
    <row r="164" spans="1:2" x14ac:dyDescent="0.2">
      <c r="A164">
        <v>262</v>
      </c>
      <c r="B164">
        <v>37.99353</v>
      </c>
    </row>
    <row r="165" spans="1:2" x14ac:dyDescent="0.2">
      <c r="A165">
        <v>263</v>
      </c>
      <c r="B165">
        <v>40.584980000000002</v>
      </c>
    </row>
    <row r="166" spans="1:2" x14ac:dyDescent="0.2">
      <c r="A166">
        <v>264</v>
      </c>
      <c r="B166">
        <v>41.546190000000003</v>
      </c>
    </row>
    <row r="167" spans="1:2" x14ac:dyDescent="0.2">
      <c r="A167">
        <v>265</v>
      </c>
      <c r="B167">
        <v>41.506180000000001</v>
      </c>
    </row>
    <row r="168" spans="1:2" x14ac:dyDescent="0.2">
      <c r="A168">
        <v>266</v>
      </c>
      <c r="B168">
        <v>41.035319999999999</v>
      </c>
    </row>
    <row r="169" spans="1:2" x14ac:dyDescent="0.2">
      <c r="A169">
        <v>267</v>
      </c>
      <c r="B169">
        <v>40.5</v>
      </c>
    </row>
    <row r="170" spans="1:2" x14ac:dyDescent="0.2">
      <c r="A170">
        <v>268</v>
      </c>
      <c r="B170">
        <v>40.084960000000002</v>
      </c>
    </row>
    <row r="171" spans="1:2" x14ac:dyDescent="0.2">
      <c r="A171">
        <v>269</v>
      </c>
      <c r="B171">
        <v>39.827120000000001</v>
      </c>
    </row>
    <row r="172" spans="1:2" x14ac:dyDescent="0.2">
      <c r="A172">
        <v>270</v>
      </c>
      <c r="B172">
        <v>39.748860000000001</v>
      </c>
    </row>
    <row r="173" spans="1:2" x14ac:dyDescent="0.2">
      <c r="A173">
        <v>271</v>
      </c>
      <c r="B173">
        <v>39.821640000000002</v>
      </c>
    </row>
    <row r="174" spans="1:2" x14ac:dyDescent="0.2">
      <c r="A174">
        <v>272</v>
      </c>
      <c r="B174">
        <v>39.998989999999999</v>
      </c>
    </row>
    <row r="175" spans="1:2" x14ac:dyDescent="0.2">
      <c r="A175">
        <v>273</v>
      </c>
      <c r="B175">
        <v>40.227420000000002</v>
      </c>
    </row>
    <row r="176" spans="1:2" x14ac:dyDescent="0.2">
      <c r="A176">
        <v>274</v>
      </c>
      <c r="B176">
        <v>40.453380000000003</v>
      </c>
    </row>
    <row r="177" spans="1:2" x14ac:dyDescent="0.2">
      <c r="A177">
        <v>275</v>
      </c>
      <c r="B177">
        <v>40.628430000000002</v>
      </c>
    </row>
    <row r="178" spans="1:2" x14ac:dyDescent="0.2">
      <c r="A178">
        <v>276</v>
      </c>
      <c r="B178">
        <v>40.709159999999997</v>
      </c>
    </row>
    <row r="179" spans="1:2" x14ac:dyDescent="0.2">
      <c r="A179">
        <v>277</v>
      </c>
      <c r="B179">
        <v>40.667070000000002</v>
      </c>
    </row>
    <row r="180" spans="1:2" x14ac:dyDescent="0.2">
      <c r="A180">
        <v>278</v>
      </c>
      <c r="B180">
        <v>40.490299999999998</v>
      </c>
    </row>
    <row r="181" spans="1:2" x14ac:dyDescent="0.2">
      <c r="A181">
        <v>279</v>
      </c>
      <c r="B181">
        <v>40.174990000000001</v>
      </c>
    </row>
    <row r="182" spans="1:2" x14ac:dyDescent="0.2">
      <c r="A182">
        <v>280</v>
      </c>
      <c r="B182">
        <v>39.727130000000002</v>
      </c>
    </row>
    <row r="183" spans="1:2" x14ac:dyDescent="0.2">
      <c r="A183">
        <v>281</v>
      </c>
      <c r="B183">
        <v>39.15981</v>
      </c>
    </row>
    <row r="184" spans="1:2" x14ac:dyDescent="0.2">
      <c r="A184">
        <v>282</v>
      </c>
      <c r="B184">
        <v>38.490250000000003</v>
      </c>
    </row>
    <row r="185" spans="1:2" x14ac:dyDescent="0.2">
      <c r="A185">
        <v>283</v>
      </c>
      <c r="B185">
        <v>37.753909999999998</v>
      </c>
    </row>
    <row r="186" spans="1:2" x14ac:dyDescent="0.2">
      <c r="A186">
        <v>284</v>
      </c>
      <c r="B186">
        <v>36.952739999999999</v>
      </c>
    </row>
    <row r="187" spans="1:2" x14ac:dyDescent="0.2">
      <c r="A187">
        <v>285</v>
      </c>
      <c r="B187">
        <v>36.1023</v>
      </c>
    </row>
    <row r="188" spans="1:2" x14ac:dyDescent="0.2">
      <c r="A188">
        <v>286</v>
      </c>
      <c r="B188">
        <v>35.215760000000003</v>
      </c>
    </row>
    <row r="189" spans="1:2" x14ac:dyDescent="0.2">
      <c r="A189">
        <v>287</v>
      </c>
      <c r="B189">
        <v>34.303550000000001</v>
      </c>
    </row>
    <row r="190" spans="1:2" x14ac:dyDescent="0.2">
      <c r="A190">
        <v>288</v>
      </c>
      <c r="B190">
        <v>33.373570000000001</v>
      </c>
    </row>
    <row r="191" spans="1:2" x14ac:dyDescent="0.2">
      <c r="A191">
        <v>289</v>
      </c>
      <c r="B191">
        <v>32.43141</v>
      </c>
    </row>
    <row r="192" spans="1:2" x14ac:dyDescent="0.2">
      <c r="A192">
        <v>290</v>
      </c>
      <c r="B192">
        <v>31.48086</v>
      </c>
    </row>
    <row r="193" spans="1:2" x14ac:dyDescent="0.2">
      <c r="A193">
        <v>291</v>
      </c>
      <c r="B193">
        <v>30.524280000000001</v>
      </c>
    </row>
    <row r="194" spans="1:2" x14ac:dyDescent="0.2">
      <c r="A194">
        <v>292</v>
      </c>
      <c r="B194">
        <v>29.565670000000001</v>
      </c>
    </row>
    <row r="195" spans="1:2" x14ac:dyDescent="0.2">
      <c r="A195">
        <v>293</v>
      </c>
      <c r="B195">
        <v>28.60989</v>
      </c>
    </row>
    <row r="196" spans="1:2" x14ac:dyDescent="0.2">
      <c r="A196">
        <v>294</v>
      </c>
      <c r="B196">
        <v>27.651589999999999</v>
      </c>
    </row>
    <row r="197" spans="1:2" x14ac:dyDescent="0.2">
      <c r="A197">
        <v>295</v>
      </c>
      <c r="B197">
        <v>26.691079999999999</v>
      </c>
    </row>
    <row r="198" spans="1:2" x14ac:dyDescent="0.2">
      <c r="A198">
        <v>296</v>
      </c>
      <c r="B198">
        <v>25.728629999999999</v>
      </c>
    </row>
    <row r="199" spans="1:2" x14ac:dyDescent="0.2">
      <c r="A199">
        <v>297</v>
      </c>
      <c r="B199">
        <v>24.7605</v>
      </c>
    </row>
    <row r="200" spans="1:2" x14ac:dyDescent="0.2">
      <c r="A200">
        <v>298</v>
      </c>
      <c r="B200">
        <v>23.792190000000002</v>
      </c>
    </row>
    <row r="201" spans="1:2" x14ac:dyDescent="0.2">
      <c r="A201">
        <v>299</v>
      </c>
      <c r="B201">
        <v>22.824369999999998</v>
      </c>
    </row>
    <row r="202" spans="1:2" x14ac:dyDescent="0.2">
      <c r="A202">
        <v>300</v>
      </c>
      <c r="B202">
        <v>21.85793</v>
      </c>
    </row>
    <row r="203" spans="1:2" x14ac:dyDescent="0.2">
      <c r="A203">
        <v>301</v>
      </c>
      <c r="B203">
        <v>20.903289999999998</v>
      </c>
    </row>
    <row r="204" spans="1:2" x14ac:dyDescent="0.2">
      <c r="A204">
        <v>302</v>
      </c>
      <c r="B204">
        <v>19.951540000000001</v>
      </c>
    </row>
    <row r="205" spans="1:2" x14ac:dyDescent="0.2">
      <c r="A205">
        <v>303</v>
      </c>
      <c r="B205">
        <v>19.004000000000001</v>
      </c>
    </row>
    <row r="206" spans="1:2" x14ac:dyDescent="0.2">
      <c r="A206">
        <v>304</v>
      </c>
      <c r="B206">
        <v>18.062059999999999</v>
      </c>
    </row>
    <row r="207" spans="1:2" x14ac:dyDescent="0.2">
      <c r="A207">
        <v>305</v>
      </c>
      <c r="B207">
        <v>17.127220000000001</v>
      </c>
    </row>
    <row r="208" spans="1:2" x14ac:dyDescent="0.2">
      <c r="A208">
        <v>306</v>
      </c>
      <c r="B208">
        <v>16.201000000000001</v>
      </c>
    </row>
    <row r="209" spans="1:2" x14ac:dyDescent="0.2">
      <c r="A209">
        <v>307</v>
      </c>
      <c r="B209">
        <v>15.284929999999999</v>
      </c>
    </row>
    <row r="210" spans="1:2" x14ac:dyDescent="0.2">
      <c r="A210">
        <v>308</v>
      </c>
      <c r="B210">
        <v>14.380520000000001</v>
      </c>
    </row>
    <row r="211" spans="1:2" x14ac:dyDescent="0.2">
      <c r="A211">
        <v>309</v>
      </c>
      <c r="B211">
        <v>13.489269999999999</v>
      </c>
    </row>
    <row r="212" spans="1:2" x14ac:dyDescent="0.2">
      <c r="A212">
        <v>310</v>
      </c>
      <c r="B212">
        <v>12.61834</v>
      </c>
    </row>
    <row r="213" spans="1:2" x14ac:dyDescent="0.2">
      <c r="A213">
        <v>311</v>
      </c>
      <c r="B213">
        <v>11.75515</v>
      </c>
    </row>
    <row r="214" spans="1:2" x14ac:dyDescent="0.2">
      <c r="A214">
        <v>312</v>
      </c>
      <c r="B214">
        <v>10.911110000000001</v>
      </c>
    </row>
    <row r="215" spans="1:2" x14ac:dyDescent="0.2">
      <c r="A215">
        <v>313</v>
      </c>
      <c r="B215">
        <v>10.08794</v>
      </c>
    </row>
    <row r="216" spans="1:2" x14ac:dyDescent="0.2">
      <c r="A216">
        <v>314</v>
      </c>
      <c r="B216">
        <v>9.2875399999999999</v>
      </c>
    </row>
    <row r="217" spans="1:2" x14ac:dyDescent="0.2">
      <c r="A217">
        <v>315</v>
      </c>
      <c r="B217">
        <v>8.5120900000000006</v>
      </c>
    </row>
    <row r="218" spans="1:2" x14ac:dyDescent="0.2">
      <c r="A218">
        <v>316</v>
      </c>
      <c r="B218">
        <v>7.7640399999999996</v>
      </c>
    </row>
    <row r="219" spans="1:2" x14ac:dyDescent="0.2">
      <c r="A219">
        <v>317</v>
      </c>
      <c r="B219">
        <v>7.0460799999999999</v>
      </c>
    </row>
    <row r="220" spans="1:2" x14ac:dyDescent="0.2">
      <c r="A220">
        <v>318</v>
      </c>
      <c r="B220">
        <v>6.3605900000000002</v>
      </c>
    </row>
    <row r="221" spans="1:2" x14ac:dyDescent="0.2">
      <c r="A221">
        <v>319</v>
      </c>
      <c r="B221">
        <v>5.7066299999999996</v>
      </c>
    </row>
    <row r="222" spans="1:2" x14ac:dyDescent="0.2">
      <c r="A222">
        <v>320</v>
      </c>
      <c r="B222">
        <v>5.0910299999999999</v>
      </c>
    </row>
    <row r="223" spans="1:2" x14ac:dyDescent="0.2">
      <c r="A223">
        <v>321</v>
      </c>
      <c r="B223">
        <v>4.51633</v>
      </c>
    </row>
    <row r="224" spans="1:2" x14ac:dyDescent="0.2">
      <c r="A224">
        <v>322</v>
      </c>
      <c r="B224">
        <v>3.9845299999999999</v>
      </c>
    </row>
    <row r="225" spans="1:2" x14ac:dyDescent="0.2">
      <c r="A225">
        <v>323</v>
      </c>
      <c r="B225">
        <v>3.4968900000000001</v>
      </c>
    </row>
    <row r="226" spans="1:2" x14ac:dyDescent="0.2">
      <c r="A226">
        <v>324</v>
      </c>
      <c r="B226">
        <v>3.0556899999999998</v>
      </c>
    </row>
    <row r="227" spans="1:2" x14ac:dyDescent="0.2">
      <c r="A227">
        <v>325</v>
      </c>
      <c r="B227">
        <v>2.6582300000000001</v>
      </c>
    </row>
    <row r="228" spans="1:2" x14ac:dyDescent="0.2">
      <c r="A228">
        <v>326</v>
      </c>
      <c r="B228">
        <v>2.3032599999999999</v>
      </c>
    </row>
    <row r="229" spans="1:2" x14ac:dyDescent="0.2">
      <c r="A229">
        <v>327</v>
      </c>
      <c r="B229">
        <v>1.9922500000000001</v>
      </c>
    </row>
    <row r="230" spans="1:2" x14ac:dyDescent="0.2">
      <c r="A230">
        <v>328</v>
      </c>
      <c r="B230">
        <v>1.7198599999999999</v>
      </c>
    </row>
    <row r="231" spans="1:2" x14ac:dyDescent="0.2">
      <c r="A231">
        <v>329</v>
      </c>
      <c r="B231">
        <v>1.48156</v>
      </c>
    </row>
    <row r="232" spans="1:2" x14ac:dyDescent="0.2">
      <c r="A232">
        <v>330</v>
      </c>
      <c r="B232">
        <v>1.2742199999999999</v>
      </c>
    </row>
    <row r="233" spans="1:2" x14ac:dyDescent="0.2">
      <c r="A233">
        <v>331</v>
      </c>
      <c r="B233">
        <v>1.0946800000000001</v>
      </c>
    </row>
    <row r="234" spans="1:2" x14ac:dyDescent="0.2">
      <c r="A234">
        <v>332</v>
      </c>
      <c r="B234">
        <v>0.93983000000000005</v>
      </c>
    </row>
    <row r="235" spans="1:2" x14ac:dyDescent="0.2">
      <c r="A235">
        <v>333</v>
      </c>
      <c r="B235">
        <v>0.80669999999999997</v>
      </c>
    </row>
    <row r="236" spans="1:2" x14ac:dyDescent="0.2">
      <c r="A236">
        <v>334</v>
      </c>
      <c r="B236">
        <v>0.69252999999999998</v>
      </c>
    </row>
    <row r="237" spans="1:2" x14ac:dyDescent="0.2">
      <c r="A237">
        <v>335</v>
      </c>
      <c r="B237">
        <v>0.59482000000000002</v>
      </c>
    </row>
    <row r="238" spans="1:2" x14ac:dyDescent="0.2">
      <c r="A238">
        <v>336</v>
      </c>
      <c r="B238">
        <v>0.51307000000000003</v>
      </c>
    </row>
    <row r="239" spans="1:2" x14ac:dyDescent="0.2">
      <c r="A239">
        <v>337</v>
      </c>
      <c r="B239">
        <v>0.44320999999999999</v>
      </c>
    </row>
    <row r="240" spans="1:2" x14ac:dyDescent="0.2">
      <c r="A240">
        <v>338</v>
      </c>
      <c r="B240">
        <v>0.38340000000000002</v>
      </c>
    </row>
    <row r="241" spans="1:2" x14ac:dyDescent="0.2">
      <c r="A241">
        <v>339</v>
      </c>
      <c r="B241">
        <v>0.33215</v>
      </c>
    </row>
    <row r="242" spans="1:2" x14ac:dyDescent="0.2">
      <c r="A242">
        <v>340</v>
      </c>
      <c r="B242">
        <v>0.28822999999999999</v>
      </c>
    </row>
    <row r="243" spans="1:2" x14ac:dyDescent="0.2">
      <c r="A243">
        <v>341</v>
      </c>
      <c r="B243">
        <v>0.25053999999999998</v>
      </c>
    </row>
    <row r="244" spans="1:2" x14ac:dyDescent="0.2">
      <c r="A244">
        <v>342</v>
      </c>
      <c r="B244">
        <v>0.21818000000000001</v>
      </c>
    </row>
    <row r="245" spans="1:2" x14ac:dyDescent="0.2">
      <c r="A245">
        <v>343</v>
      </c>
      <c r="B245">
        <v>0.19036</v>
      </c>
    </row>
    <row r="246" spans="1:2" x14ac:dyDescent="0.2">
      <c r="A246">
        <v>344</v>
      </c>
      <c r="B246">
        <v>0.16642000000000001</v>
      </c>
    </row>
    <row r="247" spans="1:2" x14ac:dyDescent="0.2">
      <c r="A247">
        <v>345</v>
      </c>
      <c r="B247">
        <v>0.14546000000000001</v>
      </c>
    </row>
    <row r="248" spans="1:2" x14ac:dyDescent="0.2">
      <c r="A248">
        <v>346</v>
      </c>
      <c r="B248">
        <v>0.12722</v>
      </c>
    </row>
    <row r="249" spans="1:2" x14ac:dyDescent="0.2">
      <c r="A249">
        <v>347</v>
      </c>
      <c r="B249">
        <v>0.11149000000000001</v>
      </c>
    </row>
    <row r="250" spans="1:2" x14ac:dyDescent="0.2">
      <c r="A250">
        <v>348</v>
      </c>
      <c r="B250">
        <v>9.7909999999999997E-2</v>
      </c>
    </row>
    <row r="251" spans="1:2" x14ac:dyDescent="0.2">
      <c r="A251">
        <v>349</v>
      </c>
      <c r="B251">
        <v>8.616E-2</v>
      </c>
    </row>
    <row r="252" spans="1:2" x14ac:dyDescent="0.2">
      <c r="A252">
        <v>350</v>
      </c>
      <c r="B252">
        <v>7.5980000000000006E-2</v>
      </c>
    </row>
    <row r="253" spans="1:2" x14ac:dyDescent="0.2">
      <c r="A253">
        <v>351</v>
      </c>
      <c r="B253">
        <v>6.6360000000000002E-2</v>
      </c>
    </row>
    <row r="254" spans="1:2" x14ac:dyDescent="0.2">
      <c r="A254">
        <v>352</v>
      </c>
      <c r="B254">
        <v>5.8110000000000002E-2</v>
      </c>
    </row>
    <row r="255" spans="1:2" x14ac:dyDescent="0.2">
      <c r="A255">
        <v>353</v>
      </c>
      <c r="B255">
        <v>5.0999999999999997E-2</v>
      </c>
    </row>
    <row r="256" spans="1:2" x14ac:dyDescent="0.2">
      <c r="A256">
        <v>354</v>
      </c>
      <c r="B256">
        <v>4.4859999999999997E-2</v>
      </c>
    </row>
    <row r="257" spans="1:2" x14ac:dyDescent="0.2">
      <c r="A257">
        <v>355</v>
      </c>
      <c r="B257">
        <v>3.9910000000000001E-2</v>
      </c>
    </row>
    <row r="258" spans="1:2" x14ac:dyDescent="0.2">
      <c r="A258">
        <v>356</v>
      </c>
      <c r="B258">
        <v>3.5659999999999997E-2</v>
      </c>
    </row>
    <row r="259" spans="1:2" x14ac:dyDescent="0.2">
      <c r="A259">
        <v>357</v>
      </c>
      <c r="B259">
        <v>3.193E-2</v>
      </c>
    </row>
    <row r="260" spans="1:2" x14ac:dyDescent="0.2">
      <c r="A260">
        <v>358</v>
      </c>
      <c r="B260">
        <v>2.8639999999999999E-2</v>
      </c>
    </row>
    <row r="261" spans="1:2" x14ac:dyDescent="0.2">
      <c r="A261">
        <v>359</v>
      </c>
      <c r="B261">
        <v>2.5739999999999999E-2</v>
      </c>
    </row>
    <row r="262" spans="1:2" x14ac:dyDescent="0.2">
      <c r="A262">
        <v>360</v>
      </c>
      <c r="B262">
        <v>2.317E-2</v>
      </c>
    </row>
    <row r="263" spans="1:2" x14ac:dyDescent="0.2">
      <c r="A263">
        <v>361</v>
      </c>
      <c r="B263">
        <v>2.0899999999999998E-2</v>
      </c>
    </row>
    <row r="264" spans="1:2" x14ac:dyDescent="0.2">
      <c r="A264">
        <v>362</v>
      </c>
      <c r="B264">
        <v>1.8880000000000001E-2</v>
      </c>
    </row>
    <row r="265" spans="1:2" x14ac:dyDescent="0.2">
      <c r="A265">
        <v>363</v>
      </c>
      <c r="B265">
        <v>1.7090000000000001E-2</v>
      </c>
    </row>
    <row r="266" spans="1:2" x14ac:dyDescent="0.2">
      <c r="A266">
        <v>364</v>
      </c>
      <c r="B266">
        <v>1.549E-2</v>
      </c>
    </row>
    <row r="267" spans="1:2" x14ac:dyDescent="0.2">
      <c r="A267">
        <v>365</v>
      </c>
      <c r="B267">
        <v>1.4080000000000001E-2</v>
      </c>
    </row>
    <row r="268" spans="1:2" x14ac:dyDescent="0.2">
      <c r="A268">
        <v>366</v>
      </c>
      <c r="B268">
        <v>1.2840000000000001E-2</v>
      </c>
    </row>
    <row r="269" spans="1:2" x14ac:dyDescent="0.2">
      <c r="A269">
        <v>367</v>
      </c>
      <c r="B269">
        <v>1.1730000000000001E-2</v>
      </c>
    </row>
    <row r="270" spans="1:2" x14ac:dyDescent="0.2">
      <c r="A270">
        <v>368</v>
      </c>
      <c r="B270">
        <v>1.073E-2</v>
      </c>
    </row>
    <row r="271" spans="1:2" x14ac:dyDescent="0.2">
      <c r="A271">
        <v>369</v>
      </c>
      <c r="B271">
        <v>9.8300000000000002E-3</v>
      </c>
    </row>
    <row r="272" spans="1:2" x14ac:dyDescent="0.2">
      <c r="A272">
        <v>370</v>
      </c>
      <c r="B272">
        <v>9.0200000000000002E-3</v>
      </c>
    </row>
    <row r="273" spans="1:2" x14ac:dyDescent="0.2">
      <c r="A273">
        <v>371</v>
      </c>
      <c r="B273">
        <v>8.2900000000000005E-3</v>
      </c>
    </row>
    <row r="274" spans="1:2" x14ac:dyDescent="0.2">
      <c r="A274">
        <v>372</v>
      </c>
      <c r="B274">
        <v>7.6299999999999996E-3</v>
      </c>
    </row>
    <row r="275" spans="1:2" x14ac:dyDescent="0.2">
      <c r="A275">
        <v>373</v>
      </c>
      <c r="B275">
        <v>7.0299999999999998E-3</v>
      </c>
    </row>
    <row r="276" spans="1:2" x14ac:dyDescent="0.2">
      <c r="A276">
        <v>374</v>
      </c>
      <c r="B276">
        <v>6.4900000000000001E-3</v>
      </c>
    </row>
    <row r="277" spans="1:2" x14ac:dyDescent="0.2">
      <c r="A277">
        <v>375</v>
      </c>
      <c r="B277">
        <v>5.9899999999999997E-3</v>
      </c>
    </row>
    <row r="278" spans="1:2" x14ac:dyDescent="0.2">
      <c r="A278">
        <v>376</v>
      </c>
      <c r="B278">
        <v>5.5399999999999998E-3</v>
      </c>
    </row>
    <row r="279" spans="1:2" x14ac:dyDescent="0.2">
      <c r="A279">
        <v>377</v>
      </c>
      <c r="B279">
        <v>5.1000000000000004E-3</v>
      </c>
    </row>
    <row r="280" spans="1:2" x14ac:dyDescent="0.2">
      <c r="A280">
        <v>378</v>
      </c>
      <c r="B280">
        <v>4.7099999999999998E-3</v>
      </c>
    </row>
    <row r="281" spans="1:2" x14ac:dyDescent="0.2">
      <c r="A281">
        <v>379</v>
      </c>
      <c r="B281">
        <v>4.3600000000000002E-3</v>
      </c>
    </row>
    <row r="282" spans="1:2" x14ac:dyDescent="0.2">
      <c r="A282">
        <v>380</v>
      </c>
      <c r="B282">
        <v>4.0299999999999997E-3</v>
      </c>
    </row>
    <row r="283" spans="1:2" x14ac:dyDescent="0.2">
      <c r="A283">
        <v>381</v>
      </c>
      <c r="B283">
        <v>3.7399999999999998E-3</v>
      </c>
    </row>
    <row r="284" spans="1:2" x14ac:dyDescent="0.2">
      <c r="A284">
        <v>382</v>
      </c>
      <c r="B284">
        <v>3.47E-3</v>
      </c>
    </row>
    <row r="285" spans="1:2" x14ac:dyDescent="0.2">
      <c r="A285">
        <v>383</v>
      </c>
      <c r="B285">
        <v>3.2200000000000002E-3</v>
      </c>
    </row>
    <row r="286" spans="1:2" x14ac:dyDescent="0.2">
      <c r="A286">
        <v>384</v>
      </c>
      <c r="B286">
        <v>2.99E-3</v>
      </c>
    </row>
    <row r="287" spans="1:2" x14ac:dyDescent="0.2">
      <c r="A287">
        <v>385</v>
      </c>
      <c r="B287">
        <v>2.7899999999999999E-3</v>
      </c>
    </row>
    <row r="288" spans="1:2" x14ac:dyDescent="0.2">
      <c r="A288">
        <v>386</v>
      </c>
      <c r="B288">
        <v>2.5999999999999999E-3</v>
      </c>
    </row>
    <row r="289" spans="1:2" x14ac:dyDescent="0.2">
      <c r="A289">
        <v>387</v>
      </c>
      <c r="B289">
        <v>2.4199999999999998E-3</v>
      </c>
    </row>
    <row r="290" spans="1:2" x14ac:dyDescent="0.2">
      <c r="A290">
        <v>388</v>
      </c>
      <c r="B290">
        <v>2.2699999999999999E-3</v>
      </c>
    </row>
    <row r="291" spans="1:2" x14ac:dyDescent="0.2">
      <c r="A291">
        <v>389</v>
      </c>
      <c r="B291">
        <v>2.1299999999999999E-3</v>
      </c>
    </row>
    <row r="292" spans="1:2" x14ac:dyDescent="0.2">
      <c r="A292">
        <v>390</v>
      </c>
      <c r="B292">
        <v>2E-3</v>
      </c>
    </row>
    <row r="293" spans="1:2" x14ac:dyDescent="0.2">
      <c r="A293">
        <v>391</v>
      </c>
      <c r="B293">
        <v>1.8799999999999999E-3</v>
      </c>
    </row>
    <row r="294" spans="1:2" x14ac:dyDescent="0.2">
      <c r="A294">
        <v>392</v>
      </c>
      <c r="B294">
        <v>1.7600000000000001E-3</v>
      </c>
    </row>
    <row r="295" spans="1:2" x14ac:dyDescent="0.2">
      <c r="A295">
        <v>393</v>
      </c>
      <c r="B295">
        <v>1.66E-3</v>
      </c>
    </row>
    <row r="296" spans="1:2" x14ac:dyDescent="0.2">
      <c r="A296">
        <v>394</v>
      </c>
      <c r="B296">
        <v>1.57E-3</v>
      </c>
    </row>
    <row r="297" spans="1:2" x14ac:dyDescent="0.2">
      <c r="A297">
        <v>395</v>
      </c>
      <c r="B297">
        <v>1.48E-3</v>
      </c>
    </row>
    <row r="298" spans="1:2" x14ac:dyDescent="0.2">
      <c r="A298">
        <v>396</v>
      </c>
      <c r="B298">
        <v>1.39E-3</v>
      </c>
    </row>
    <row r="299" spans="1:2" x14ac:dyDescent="0.2">
      <c r="A299">
        <v>397</v>
      </c>
      <c r="B299">
        <v>1.32E-3</v>
      </c>
    </row>
    <row r="300" spans="1:2" x14ac:dyDescent="0.2">
      <c r="A300">
        <v>398</v>
      </c>
      <c r="B300">
        <v>1.24E-3</v>
      </c>
    </row>
    <row r="301" spans="1:2" x14ac:dyDescent="0.2">
      <c r="A301">
        <v>399</v>
      </c>
      <c r="B301">
        <v>1.1800000000000001E-3</v>
      </c>
    </row>
    <row r="302" spans="1:2" x14ac:dyDescent="0.2">
      <c r="A302">
        <v>400</v>
      </c>
      <c r="B302">
        <v>1.1199999999999999E-3</v>
      </c>
    </row>
    <row r="303" spans="1:2" x14ac:dyDescent="0.2">
      <c r="A303">
        <v>401</v>
      </c>
      <c r="B303">
        <v>1.06E-3</v>
      </c>
    </row>
    <row r="304" spans="1:2" x14ac:dyDescent="0.2">
      <c r="A304">
        <v>402</v>
      </c>
      <c r="B304">
        <v>1E-3</v>
      </c>
    </row>
    <row r="305" spans="1:2" x14ac:dyDescent="0.2">
      <c r="A305">
        <v>403</v>
      </c>
      <c r="B305">
        <v>9.5E-4</v>
      </c>
    </row>
    <row r="306" spans="1:2" x14ac:dyDescent="0.2">
      <c r="A306">
        <v>404</v>
      </c>
      <c r="B306">
        <v>9.1E-4</v>
      </c>
    </row>
    <row r="307" spans="1:2" x14ac:dyDescent="0.2">
      <c r="A307">
        <v>405</v>
      </c>
      <c r="B307">
        <v>8.5999999999999998E-4</v>
      </c>
    </row>
    <row r="308" spans="1:2" x14ac:dyDescent="0.2">
      <c r="A308">
        <v>406</v>
      </c>
      <c r="B308">
        <v>8.1999999999999998E-4</v>
      </c>
    </row>
    <row r="309" spans="1:2" x14ac:dyDescent="0.2">
      <c r="A309">
        <v>407</v>
      </c>
      <c r="B309">
        <v>7.7999999999999999E-4</v>
      </c>
    </row>
    <row r="310" spans="1:2" x14ac:dyDescent="0.2">
      <c r="A310">
        <v>408</v>
      </c>
      <c r="B310">
        <v>7.3999999999999999E-4</v>
      </c>
    </row>
    <row r="311" spans="1:2" x14ac:dyDescent="0.2">
      <c r="A311">
        <v>409</v>
      </c>
      <c r="B311">
        <v>7.1000000000000002E-4</v>
      </c>
    </row>
    <row r="312" spans="1:2" x14ac:dyDescent="0.2">
      <c r="A312">
        <v>410</v>
      </c>
      <c r="B312">
        <v>6.8000000000000005E-4</v>
      </c>
    </row>
    <row r="313" spans="1:2" x14ac:dyDescent="0.2">
      <c r="A313">
        <v>411</v>
      </c>
      <c r="B313">
        <v>6.4999999999999997E-4</v>
      </c>
    </row>
    <row r="314" spans="1:2" x14ac:dyDescent="0.2">
      <c r="A314">
        <v>412</v>
      </c>
      <c r="B314">
        <v>6.2E-4</v>
      </c>
    </row>
    <row r="315" spans="1:2" x14ac:dyDescent="0.2">
      <c r="A315">
        <v>413</v>
      </c>
      <c r="B315">
        <v>5.9000000000000003E-4</v>
      </c>
    </row>
    <row r="316" spans="1:2" x14ac:dyDescent="0.2">
      <c r="A316">
        <v>414</v>
      </c>
      <c r="B316">
        <v>5.5999999999999995E-4</v>
      </c>
    </row>
    <row r="317" spans="1:2" x14ac:dyDescent="0.2">
      <c r="A317">
        <v>415</v>
      </c>
      <c r="B317">
        <v>5.4000000000000001E-4</v>
      </c>
    </row>
    <row r="318" spans="1:2" x14ac:dyDescent="0.2">
      <c r="A318">
        <v>416</v>
      </c>
      <c r="B318">
        <v>5.1000000000000004E-4</v>
      </c>
    </row>
    <row r="319" spans="1:2" x14ac:dyDescent="0.2">
      <c r="A319">
        <v>417</v>
      </c>
      <c r="B319">
        <v>4.8999999999999998E-4</v>
      </c>
    </row>
    <row r="320" spans="1:2" x14ac:dyDescent="0.2">
      <c r="A320">
        <v>418</v>
      </c>
      <c r="B320">
        <v>4.6999999999999999E-4</v>
      </c>
    </row>
    <row r="321" spans="1:2" x14ac:dyDescent="0.2">
      <c r="A321">
        <v>419</v>
      </c>
      <c r="B321">
        <v>4.4999999999999999E-4</v>
      </c>
    </row>
    <row r="322" spans="1:2" x14ac:dyDescent="0.2">
      <c r="A322">
        <v>420</v>
      </c>
      <c r="B322">
        <v>4.2999999999999999E-4</v>
      </c>
    </row>
    <row r="323" spans="1:2" x14ac:dyDescent="0.2">
      <c r="A323">
        <v>421</v>
      </c>
      <c r="B323">
        <v>4.0999999999999999E-4</v>
      </c>
    </row>
    <row r="324" spans="1:2" x14ac:dyDescent="0.2">
      <c r="A324">
        <v>422</v>
      </c>
      <c r="B324">
        <v>4.0000000000000002E-4</v>
      </c>
    </row>
    <row r="325" spans="1:2" x14ac:dyDescent="0.2">
      <c r="A325">
        <v>423</v>
      </c>
      <c r="B325">
        <v>3.8000000000000002E-4</v>
      </c>
    </row>
    <row r="326" spans="1:2" x14ac:dyDescent="0.2">
      <c r="A326">
        <v>424</v>
      </c>
      <c r="B326">
        <v>3.6000000000000002E-4</v>
      </c>
    </row>
    <row r="327" spans="1:2" x14ac:dyDescent="0.2">
      <c r="A327">
        <v>425</v>
      </c>
      <c r="B327">
        <v>3.5E-4</v>
      </c>
    </row>
    <row r="328" spans="1:2" x14ac:dyDescent="0.2">
      <c r="A328">
        <v>426</v>
      </c>
      <c r="B328">
        <v>3.4000000000000002E-4</v>
      </c>
    </row>
    <row r="329" spans="1:2" x14ac:dyDescent="0.2">
      <c r="A329">
        <v>427</v>
      </c>
      <c r="B329">
        <v>3.2000000000000003E-4</v>
      </c>
    </row>
    <row r="330" spans="1:2" x14ac:dyDescent="0.2">
      <c r="A330">
        <v>428</v>
      </c>
      <c r="B330">
        <v>3.1E-4</v>
      </c>
    </row>
    <row r="331" spans="1:2" x14ac:dyDescent="0.2">
      <c r="A331">
        <v>429</v>
      </c>
      <c r="B331">
        <v>2.9999999999999997E-4</v>
      </c>
    </row>
    <row r="332" spans="1:2" x14ac:dyDescent="0.2">
      <c r="A332">
        <v>430</v>
      </c>
      <c r="B332">
        <v>2.9E-4</v>
      </c>
    </row>
    <row r="333" spans="1:2" x14ac:dyDescent="0.2">
      <c r="A333">
        <v>431</v>
      </c>
      <c r="B333">
        <v>2.7999999999999998E-4</v>
      </c>
    </row>
    <row r="334" spans="1:2" x14ac:dyDescent="0.2">
      <c r="A334">
        <v>432</v>
      </c>
      <c r="B334">
        <v>2.7E-4</v>
      </c>
    </row>
    <row r="335" spans="1:2" x14ac:dyDescent="0.2">
      <c r="A335">
        <v>433</v>
      </c>
      <c r="B335">
        <v>2.5999999999999998E-4</v>
      </c>
    </row>
    <row r="336" spans="1:2" x14ac:dyDescent="0.2">
      <c r="A336">
        <v>434</v>
      </c>
      <c r="B336">
        <v>2.5000000000000001E-4</v>
      </c>
    </row>
    <row r="337" spans="1:2" x14ac:dyDescent="0.2">
      <c r="A337">
        <v>435</v>
      </c>
      <c r="B337">
        <v>2.5000000000000001E-4</v>
      </c>
    </row>
    <row r="338" spans="1:2" x14ac:dyDescent="0.2">
      <c r="A338">
        <v>436</v>
      </c>
      <c r="B338">
        <v>2.4000000000000001E-4</v>
      </c>
    </row>
    <row r="339" spans="1:2" x14ac:dyDescent="0.2">
      <c r="A339">
        <v>437</v>
      </c>
      <c r="B339">
        <v>2.3000000000000001E-4</v>
      </c>
    </row>
    <row r="340" spans="1:2" x14ac:dyDescent="0.2">
      <c r="A340">
        <v>438</v>
      </c>
      <c r="B340">
        <v>2.2000000000000001E-4</v>
      </c>
    </row>
    <row r="341" spans="1:2" x14ac:dyDescent="0.2">
      <c r="A341">
        <v>439</v>
      </c>
      <c r="B341">
        <v>2.2000000000000001E-4</v>
      </c>
    </row>
    <row r="342" spans="1:2" x14ac:dyDescent="0.2">
      <c r="A342">
        <v>440</v>
      </c>
      <c r="B342">
        <v>2.1000000000000001E-4</v>
      </c>
    </row>
    <row r="343" spans="1:2" x14ac:dyDescent="0.2">
      <c r="A343">
        <v>441</v>
      </c>
      <c r="B343">
        <v>2.0000000000000001E-4</v>
      </c>
    </row>
    <row r="344" spans="1:2" x14ac:dyDescent="0.2">
      <c r="A344">
        <v>442</v>
      </c>
      <c r="B344">
        <v>2.0000000000000001E-4</v>
      </c>
    </row>
    <row r="345" spans="1:2" x14ac:dyDescent="0.2">
      <c r="A345">
        <v>443</v>
      </c>
      <c r="B345">
        <v>1.9000000000000001E-4</v>
      </c>
    </row>
    <row r="346" spans="1:2" x14ac:dyDescent="0.2">
      <c r="A346">
        <v>444</v>
      </c>
      <c r="B346">
        <v>1.9000000000000001E-4</v>
      </c>
    </row>
    <row r="347" spans="1:2" x14ac:dyDescent="0.2">
      <c r="A347">
        <v>445</v>
      </c>
      <c r="B347">
        <v>1.8000000000000001E-4</v>
      </c>
    </row>
    <row r="348" spans="1:2" x14ac:dyDescent="0.2">
      <c r="A348">
        <v>446</v>
      </c>
      <c r="B348">
        <v>1.8000000000000001E-4</v>
      </c>
    </row>
    <row r="349" spans="1:2" x14ac:dyDescent="0.2">
      <c r="A349">
        <v>447</v>
      </c>
      <c r="B349">
        <v>1.7000000000000001E-4</v>
      </c>
    </row>
    <row r="350" spans="1:2" x14ac:dyDescent="0.2">
      <c r="A350">
        <v>448</v>
      </c>
      <c r="B350">
        <v>1.6000000000000001E-4</v>
      </c>
    </row>
    <row r="351" spans="1:2" x14ac:dyDescent="0.2">
      <c r="A351">
        <v>449</v>
      </c>
      <c r="B351">
        <v>1.6000000000000001E-4</v>
      </c>
    </row>
    <row r="352" spans="1:2" x14ac:dyDescent="0.2">
      <c r="A352">
        <v>450</v>
      </c>
      <c r="B352">
        <v>1.6000000000000001E-4</v>
      </c>
    </row>
    <row r="353" spans="1:2" x14ac:dyDescent="0.2">
      <c r="A353">
        <v>451</v>
      </c>
      <c r="B353">
        <v>1.4999999999999999E-4</v>
      </c>
    </row>
    <row r="354" spans="1:2" x14ac:dyDescent="0.2">
      <c r="A354">
        <v>452</v>
      </c>
      <c r="B354">
        <v>1.4999999999999999E-4</v>
      </c>
    </row>
    <row r="355" spans="1:2" x14ac:dyDescent="0.2">
      <c r="A355">
        <v>453</v>
      </c>
      <c r="B355">
        <v>1.3999999999999999E-4</v>
      </c>
    </row>
    <row r="356" spans="1:2" x14ac:dyDescent="0.2">
      <c r="A356">
        <v>454</v>
      </c>
      <c r="B356">
        <v>1.3999999999999999E-4</v>
      </c>
    </row>
    <row r="357" spans="1:2" x14ac:dyDescent="0.2">
      <c r="A357">
        <v>455</v>
      </c>
      <c r="B357">
        <v>1.3999999999999999E-4</v>
      </c>
    </row>
    <row r="358" spans="1:2" x14ac:dyDescent="0.2">
      <c r="A358">
        <v>456</v>
      </c>
      <c r="B358">
        <v>1.2999999999999999E-4</v>
      </c>
    </row>
    <row r="359" spans="1:2" x14ac:dyDescent="0.2">
      <c r="A359">
        <v>457</v>
      </c>
      <c r="B359">
        <v>1.2999999999999999E-4</v>
      </c>
    </row>
    <row r="360" spans="1:2" x14ac:dyDescent="0.2">
      <c r="A360">
        <v>458</v>
      </c>
      <c r="B360">
        <v>1.2999999999999999E-4</v>
      </c>
    </row>
    <row r="361" spans="1:2" x14ac:dyDescent="0.2">
      <c r="A361">
        <v>459</v>
      </c>
      <c r="B361">
        <v>1.2E-4</v>
      </c>
    </row>
    <row r="362" spans="1:2" x14ac:dyDescent="0.2">
      <c r="A362">
        <v>460</v>
      </c>
      <c r="B362">
        <v>1.2E-4</v>
      </c>
    </row>
    <row r="363" spans="1:2" x14ac:dyDescent="0.2">
      <c r="A363">
        <v>461</v>
      </c>
      <c r="B363">
        <v>1.2E-4</v>
      </c>
    </row>
    <row r="364" spans="1:2" x14ac:dyDescent="0.2">
      <c r="A364">
        <v>462</v>
      </c>
      <c r="B364">
        <v>1.1E-4</v>
      </c>
    </row>
    <row r="365" spans="1:2" x14ac:dyDescent="0.2">
      <c r="A365">
        <v>463</v>
      </c>
      <c r="B365">
        <v>1.1E-4</v>
      </c>
    </row>
    <row r="366" spans="1:2" x14ac:dyDescent="0.2">
      <c r="A366">
        <v>464</v>
      </c>
      <c r="B366">
        <v>1.1E-4</v>
      </c>
    </row>
    <row r="367" spans="1:2" x14ac:dyDescent="0.2">
      <c r="A367">
        <v>465</v>
      </c>
      <c r="B367">
        <v>1.1E-4</v>
      </c>
    </row>
    <row r="368" spans="1:2" x14ac:dyDescent="0.2">
      <c r="A368">
        <v>466</v>
      </c>
      <c r="B368">
        <v>1E-4</v>
      </c>
    </row>
    <row r="369" spans="1:2" x14ac:dyDescent="0.2">
      <c r="A369">
        <v>467</v>
      </c>
      <c r="B369">
        <v>1E-4</v>
      </c>
    </row>
    <row r="370" spans="1:2" x14ac:dyDescent="0.2">
      <c r="A370">
        <v>468</v>
      </c>
      <c r="B370">
        <v>1E-4</v>
      </c>
    </row>
    <row r="371" spans="1:2" x14ac:dyDescent="0.2">
      <c r="A371">
        <v>469</v>
      </c>
      <c r="B371">
        <v>1E-4</v>
      </c>
    </row>
    <row r="372" spans="1:2" x14ac:dyDescent="0.2">
      <c r="A372">
        <v>470</v>
      </c>
      <c r="B372">
        <v>9.0000000000000006E-5</v>
      </c>
    </row>
    <row r="373" spans="1:2" x14ac:dyDescent="0.2">
      <c r="A373">
        <v>471</v>
      </c>
      <c r="B373">
        <v>9.0000000000000006E-5</v>
      </c>
    </row>
    <row r="374" spans="1:2" x14ac:dyDescent="0.2">
      <c r="A374">
        <v>472</v>
      </c>
      <c r="B374">
        <v>9.0000000000000006E-5</v>
      </c>
    </row>
    <row r="375" spans="1:2" x14ac:dyDescent="0.2">
      <c r="A375">
        <v>473</v>
      </c>
      <c r="B375">
        <v>9.0000000000000006E-5</v>
      </c>
    </row>
    <row r="376" spans="1:2" x14ac:dyDescent="0.2">
      <c r="A376">
        <v>474</v>
      </c>
      <c r="B376">
        <v>9.0000000000000006E-5</v>
      </c>
    </row>
    <row r="377" spans="1:2" x14ac:dyDescent="0.2">
      <c r="A377">
        <v>475</v>
      </c>
      <c r="B377">
        <v>8.0000000000000007E-5</v>
      </c>
    </row>
    <row r="378" spans="1:2" x14ac:dyDescent="0.2">
      <c r="A378">
        <v>476</v>
      </c>
      <c r="B378">
        <v>8.0000000000000007E-5</v>
      </c>
    </row>
    <row r="379" spans="1:2" x14ac:dyDescent="0.2">
      <c r="A379">
        <v>477</v>
      </c>
      <c r="B379">
        <v>8.0000000000000007E-5</v>
      </c>
    </row>
    <row r="380" spans="1:2" x14ac:dyDescent="0.2">
      <c r="A380">
        <v>478</v>
      </c>
      <c r="B380">
        <v>8.0000000000000007E-5</v>
      </c>
    </row>
    <row r="381" spans="1:2" x14ac:dyDescent="0.2">
      <c r="A381">
        <v>479</v>
      </c>
      <c r="B381">
        <v>8.0000000000000007E-5</v>
      </c>
    </row>
    <row r="382" spans="1:2" x14ac:dyDescent="0.2">
      <c r="A382">
        <v>480</v>
      </c>
      <c r="B382">
        <v>8.0000000000000007E-5</v>
      </c>
    </row>
    <row r="383" spans="1:2" x14ac:dyDescent="0.2">
      <c r="A383">
        <v>481</v>
      </c>
      <c r="B383">
        <v>6.9999999999999994E-5</v>
      </c>
    </row>
    <row r="384" spans="1:2" x14ac:dyDescent="0.2">
      <c r="A384">
        <v>482</v>
      </c>
      <c r="B384">
        <v>6.9999999999999994E-5</v>
      </c>
    </row>
    <row r="385" spans="1:2" x14ac:dyDescent="0.2">
      <c r="A385">
        <v>483</v>
      </c>
      <c r="B385">
        <v>6.9999999999999994E-5</v>
      </c>
    </row>
    <row r="386" spans="1:2" x14ac:dyDescent="0.2">
      <c r="A386">
        <v>484</v>
      </c>
      <c r="B386">
        <v>6.9999999999999994E-5</v>
      </c>
    </row>
    <row r="387" spans="1:2" x14ac:dyDescent="0.2">
      <c r="A387">
        <v>485</v>
      </c>
      <c r="B387">
        <v>6.9999999999999994E-5</v>
      </c>
    </row>
    <row r="388" spans="1:2" x14ac:dyDescent="0.2">
      <c r="A388">
        <v>486</v>
      </c>
      <c r="B388">
        <v>6.9999999999999994E-5</v>
      </c>
    </row>
    <row r="389" spans="1:2" x14ac:dyDescent="0.2">
      <c r="A389">
        <v>487</v>
      </c>
      <c r="B389">
        <v>6.9999999999999994E-5</v>
      </c>
    </row>
    <row r="390" spans="1:2" x14ac:dyDescent="0.2">
      <c r="A390">
        <v>488</v>
      </c>
      <c r="B390">
        <v>6.9999999999999994E-5</v>
      </c>
    </row>
    <row r="391" spans="1:2" x14ac:dyDescent="0.2">
      <c r="A391">
        <v>489</v>
      </c>
      <c r="B391">
        <v>6.0000000000000002E-5</v>
      </c>
    </row>
    <row r="392" spans="1:2" x14ac:dyDescent="0.2">
      <c r="A392">
        <v>490</v>
      </c>
      <c r="B392">
        <v>6.0000000000000002E-5</v>
      </c>
    </row>
    <row r="393" spans="1:2" x14ac:dyDescent="0.2">
      <c r="A393">
        <v>491</v>
      </c>
      <c r="B393">
        <v>6.0000000000000002E-5</v>
      </c>
    </row>
    <row r="394" spans="1:2" x14ac:dyDescent="0.2">
      <c r="A394">
        <v>492</v>
      </c>
      <c r="B394">
        <v>6.0000000000000002E-5</v>
      </c>
    </row>
    <row r="395" spans="1:2" x14ac:dyDescent="0.2">
      <c r="A395">
        <v>493</v>
      </c>
      <c r="B395">
        <v>6.0000000000000002E-5</v>
      </c>
    </row>
    <row r="396" spans="1:2" x14ac:dyDescent="0.2">
      <c r="A396">
        <v>494</v>
      </c>
      <c r="B396">
        <v>6.0000000000000002E-5</v>
      </c>
    </row>
    <row r="397" spans="1:2" x14ac:dyDescent="0.2">
      <c r="A397">
        <v>495</v>
      </c>
      <c r="B397">
        <v>6.0000000000000002E-5</v>
      </c>
    </row>
    <row r="398" spans="1:2" x14ac:dyDescent="0.2">
      <c r="A398">
        <v>496</v>
      </c>
      <c r="B398">
        <v>6.0000000000000002E-5</v>
      </c>
    </row>
    <row r="399" spans="1:2" x14ac:dyDescent="0.2">
      <c r="A399">
        <v>497</v>
      </c>
      <c r="B399">
        <v>6.0000000000000002E-5</v>
      </c>
    </row>
    <row r="400" spans="1:2" x14ac:dyDescent="0.2">
      <c r="A400">
        <v>498</v>
      </c>
      <c r="B400">
        <v>6.0000000000000002E-5</v>
      </c>
    </row>
    <row r="401" spans="1:2" x14ac:dyDescent="0.2">
      <c r="A401">
        <v>499</v>
      </c>
      <c r="B401">
        <v>5.0000000000000002E-5</v>
      </c>
    </row>
    <row r="402" spans="1:2" x14ac:dyDescent="0.2">
      <c r="A402">
        <v>500</v>
      </c>
      <c r="B402">
        <v>5.0000000000000002E-5</v>
      </c>
    </row>
    <row r="403" spans="1:2" x14ac:dyDescent="0.2">
      <c r="A403">
        <v>501</v>
      </c>
      <c r="B403">
        <v>5.0000000000000002E-5</v>
      </c>
    </row>
    <row r="404" spans="1:2" x14ac:dyDescent="0.2">
      <c r="A404">
        <v>502</v>
      </c>
      <c r="B404">
        <v>5.0000000000000002E-5</v>
      </c>
    </row>
    <row r="405" spans="1:2" x14ac:dyDescent="0.2">
      <c r="A405">
        <v>503</v>
      </c>
      <c r="B405">
        <v>5.0000000000000002E-5</v>
      </c>
    </row>
    <row r="406" spans="1:2" x14ac:dyDescent="0.2">
      <c r="A406">
        <v>504</v>
      </c>
      <c r="B406">
        <v>5.0000000000000002E-5</v>
      </c>
    </row>
    <row r="407" spans="1:2" x14ac:dyDescent="0.2">
      <c r="A407">
        <v>505</v>
      </c>
      <c r="B407">
        <v>5.0000000000000002E-5</v>
      </c>
    </row>
    <row r="408" spans="1:2" x14ac:dyDescent="0.2">
      <c r="A408">
        <v>506</v>
      </c>
      <c r="B408">
        <v>5.0000000000000002E-5</v>
      </c>
    </row>
    <row r="409" spans="1:2" x14ac:dyDescent="0.2">
      <c r="A409">
        <v>507</v>
      </c>
      <c r="B409">
        <v>5.0000000000000002E-5</v>
      </c>
    </row>
    <row r="410" spans="1:2" x14ac:dyDescent="0.2">
      <c r="A410">
        <v>508</v>
      </c>
      <c r="B410">
        <v>5.0000000000000002E-5</v>
      </c>
    </row>
    <row r="411" spans="1:2" x14ac:dyDescent="0.2">
      <c r="A411">
        <v>509</v>
      </c>
      <c r="B411">
        <v>5.0000000000000002E-5</v>
      </c>
    </row>
    <row r="412" spans="1:2" x14ac:dyDescent="0.2">
      <c r="A412">
        <v>510</v>
      </c>
      <c r="B412">
        <v>5.0000000000000002E-5</v>
      </c>
    </row>
    <row r="413" spans="1:2" x14ac:dyDescent="0.2">
      <c r="A413">
        <v>511</v>
      </c>
      <c r="B413">
        <v>5.0000000000000002E-5</v>
      </c>
    </row>
    <row r="414" spans="1:2" x14ac:dyDescent="0.2">
      <c r="A414">
        <v>512</v>
      </c>
      <c r="B414">
        <v>5.0000000000000002E-5</v>
      </c>
    </row>
    <row r="415" spans="1:2" x14ac:dyDescent="0.2">
      <c r="A415">
        <v>513</v>
      </c>
      <c r="B415">
        <v>5.0000000000000002E-5</v>
      </c>
    </row>
    <row r="416" spans="1:2" x14ac:dyDescent="0.2">
      <c r="A416">
        <v>514</v>
      </c>
      <c r="B416">
        <v>4.0000000000000003E-5</v>
      </c>
    </row>
    <row r="417" spans="1:2" x14ac:dyDescent="0.2">
      <c r="A417">
        <v>515</v>
      </c>
      <c r="B417">
        <v>4.0000000000000003E-5</v>
      </c>
    </row>
    <row r="418" spans="1:2" x14ac:dyDescent="0.2">
      <c r="A418">
        <v>516</v>
      </c>
      <c r="B418">
        <v>4.0000000000000003E-5</v>
      </c>
    </row>
    <row r="419" spans="1:2" x14ac:dyDescent="0.2">
      <c r="A419">
        <v>517</v>
      </c>
      <c r="B419">
        <v>4.0000000000000003E-5</v>
      </c>
    </row>
    <row r="420" spans="1:2" x14ac:dyDescent="0.2">
      <c r="A420">
        <v>518</v>
      </c>
      <c r="B420">
        <v>4.0000000000000003E-5</v>
      </c>
    </row>
    <row r="421" spans="1:2" x14ac:dyDescent="0.2">
      <c r="A421">
        <v>519</v>
      </c>
      <c r="B421">
        <v>4.0000000000000003E-5</v>
      </c>
    </row>
    <row r="422" spans="1:2" x14ac:dyDescent="0.2">
      <c r="A422">
        <v>520</v>
      </c>
      <c r="B422">
        <v>4.0000000000000003E-5</v>
      </c>
    </row>
    <row r="423" spans="1:2" x14ac:dyDescent="0.2">
      <c r="A423">
        <v>521</v>
      </c>
      <c r="B423">
        <v>4.0000000000000003E-5</v>
      </c>
    </row>
    <row r="424" spans="1:2" x14ac:dyDescent="0.2">
      <c r="A424">
        <v>522</v>
      </c>
      <c r="B424">
        <v>4.0000000000000003E-5</v>
      </c>
    </row>
    <row r="425" spans="1:2" x14ac:dyDescent="0.2">
      <c r="A425">
        <v>523</v>
      </c>
      <c r="B425">
        <v>4.0000000000000003E-5</v>
      </c>
    </row>
    <row r="426" spans="1:2" x14ac:dyDescent="0.2">
      <c r="A426">
        <v>524</v>
      </c>
      <c r="B426">
        <v>4.0000000000000003E-5</v>
      </c>
    </row>
    <row r="427" spans="1:2" x14ac:dyDescent="0.2">
      <c r="A427">
        <v>525</v>
      </c>
      <c r="B427">
        <v>4.0000000000000003E-5</v>
      </c>
    </row>
    <row r="428" spans="1:2" x14ac:dyDescent="0.2">
      <c r="A428">
        <v>526</v>
      </c>
      <c r="B428">
        <v>4.0000000000000003E-5</v>
      </c>
    </row>
    <row r="429" spans="1:2" x14ac:dyDescent="0.2">
      <c r="A429">
        <v>527</v>
      </c>
      <c r="B429">
        <v>4.0000000000000003E-5</v>
      </c>
    </row>
    <row r="430" spans="1:2" x14ac:dyDescent="0.2">
      <c r="A430">
        <v>528</v>
      </c>
      <c r="B430">
        <v>4.0000000000000003E-5</v>
      </c>
    </row>
    <row r="431" spans="1:2" x14ac:dyDescent="0.2">
      <c r="A431">
        <v>529</v>
      </c>
      <c r="B431">
        <v>4.0000000000000003E-5</v>
      </c>
    </row>
    <row r="432" spans="1:2" x14ac:dyDescent="0.2">
      <c r="A432">
        <v>530</v>
      </c>
      <c r="B432">
        <v>4.0000000000000003E-5</v>
      </c>
    </row>
    <row r="433" spans="1:2" x14ac:dyDescent="0.2">
      <c r="A433">
        <v>531</v>
      </c>
      <c r="B433">
        <v>4.0000000000000003E-5</v>
      </c>
    </row>
    <row r="434" spans="1:2" x14ac:dyDescent="0.2">
      <c r="A434">
        <v>532</v>
      </c>
      <c r="B434">
        <v>4.0000000000000003E-5</v>
      </c>
    </row>
    <row r="435" spans="1:2" x14ac:dyDescent="0.2">
      <c r="A435">
        <v>533</v>
      </c>
      <c r="B435">
        <v>4.0000000000000003E-5</v>
      </c>
    </row>
    <row r="436" spans="1:2" x14ac:dyDescent="0.2">
      <c r="A436">
        <v>534</v>
      </c>
      <c r="B436">
        <v>4.0000000000000003E-5</v>
      </c>
    </row>
    <row r="437" spans="1:2" x14ac:dyDescent="0.2">
      <c r="A437">
        <v>535</v>
      </c>
      <c r="B437">
        <v>3.0000000000000001E-5</v>
      </c>
    </row>
    <row r="438" spans="1:2" x14ac:dyDescent="0.2">
      <c r="A438">
        <v>536</v>
      </c>
      <c r="B438">
        <v>3.0000000000000001E-5</v>
      </c>
    </row>
    <row r="439" spans="1:2" x14ac:dyDescent="0.2">
      <c r="A439">
        <v>537</v>
      </c>
      <c r="B439">
        <v>3.0000000000000001E-5</v>
      </c>
    </row>
    <row r="440" spans="1:2" x14ac:dyDescent="0.2">
      <c r="A440">
        <v>538</v>
      </c>
      <c r="B440">
        <v>3.0000000000000001E-5</v>
      </c>
    </row>
    <row r="441" spans="1:2" x14ac:dyDescent="0.2">
      <c r="A441">
        <v>539</v>
      </c>
      <c r="B441">
        <v>3.0000000000000001E-5</v>
      </c>
    </row>
    <row r="442" spans="1:2" x14ac:dyDescent="0.2">
      <c r="A442">
        <v>540</v>
      </c>
      <c r="B442">
        <v>3.0000000000000001E-5</v>
      </c>
    </row>
    <row r="443" spans="1:2" x14ac:dyDescent="0.2">
      <c r="A443">
        <v>541</v>
      </c>
      <c r="B443">
        <v>3.0000000000000001E-5</v>
      </c>
    </row>
    <row r="444" spans="1:2" x14ac:dyDescent="0.2">
      <c r="A444">
        <v>542</v>
      </c>
      <c r="B444">
        <v>3.0000000000000001E-5</v>
      </c>
    </row>
    <row r="445" spans="1:2" x14ac:dyDescent="0.2">
      <c r="A445">
        <v>543</v>
      </c>
      <c r="B445">
        <v>3.0000000000000001E-5</v>
      </c>
    </row>
    <row r="446" spans="1:2" x14ac:dyDescent="0.2">
      <c r="A446">
        <v>544</v>
      </c>
      <c r="B446">
        <v>3.0000000000000001E-5</v>
      </c>
    </row>
    <row r="447" spans="1:2" x14ac:dyDescent="0.2">
      <c r="A447">
        <v>545</v>
      </c>
      <c r="B447">
        <v>3.0000000000000001E-5</v>
      </c>
    </row>
    <row r="448" spans="1:2" x14ac:dyDescent="0.2">
      <c r="A448">
        <v>546</v>
      </c>
      <c r="B448">
        <v>3.0000000000000001E-5</v>
      </c>
    </row>
    <row r="449" spans="1:2" x14ac:dyDescent="0.2">
      <c r="A449">
        <v>547</v>
      </c>
      <c r="B449">
        <v>3.0000000000000001E-5</v>
      </c>
    </row>
    <row r="450" spans="1:2" x14ac:dyDescent="0.2">
      <c r="A450">
        <v>548</v>
      </c>
      <c r="B450">
        <v>3.0000000000000001E-5</v>
      </c>
    </row>
    <row r="451" spans="1:2" x14ac:dyDescent="0.2">
      <c r="A451">
        <v>549</v>
      </c>
      <c r="B451">
        <v>3.0000000000000001E-5</v>
      </c>
    </row>
    <row r="452" spans="1:2" x14ac:dyDescent="0.2">
      <c r="A452">
        <v>550</v>
      </c>
      <c r="B452">
        <v>3.0000000000000001E-5</v>
      </c>
    </row>
    <row r="453" spans="1:2" x14ac:dyDescent="0.2">
      <c r="A453">
        <v>551</v>
      </c>
      <c r="B453">
        <v>3.0000000000000001E-5</v>
      </c>
    </row>
    <row r="454" spans="1:2" x14ac:dyDescent="0.2">
      <c r="A454">
        <v>552</v>
      </c>
      <c r="B454">
        <v>3.0000000000000001E-5</v>
      </c>
    </row>
    <row r="455" spans="1:2" x14ac:dyDescent="0.2">
      <c r="A455">
        <v>553</v>
      </c>
      <c r="B455">
        <v>3.0000000000000001E-5</v>
      </c>
    </row>
    <row r="456" spans="1:2" x14ac:dyDescent="0.2">
      <c r="A456">
        <v>554</v>
      </c>
      <c r="B456">
        <v>3.0000000000000001E-5</v>
      </c>
    </row>
    <row r="457" spans="1:2" x14ac:dyDescent="0.2">
      <c r="A457">
        <v>555</v>
      </c>
      <c r="B457">
        <v>3.0000000000000001E-5</v>
      </c>
    </row>
    <row r="458" spans="1:2" x14ac:dyDescent="0.2">
      <c r="A458">
        <v>556</v>
      </c>
      <c r="B458">
        <v>3.0000000000000001E-5</v>
      </c>
    </row>
    <row r="459" spans="1:2" x14ac:dyDescent="0.2">
      <c r="A459">
        <v>557</v>
      </c>
      <c r="B459">
        <v>3.0000000000000001E-5</v>
      </c>
    </row>
    <row r="460" spans="1:2" x14ac:dyDescent="0.2">
      <c r="A460">
        <v>558</v>
      </c>
      <c r="B460">
        <v>3.0000000000000001E-5</v>
      </c>
    </row>
    <row r="461" spans="1:2" x14ac:dyDescent="0.2">
      <c r="A461">
        <v>559</v>
      </c>
      <c r="B461">
        <v>3.0000000000000001E-5</v>
      </c>
    </row>
    <row r="462" spans="1:2" x14ac:dyDescent="0.2">
      <c r="A462">
        <v>560</v>
      </c>
      <c r="B462">
        <v>3.0000000000000001E-5</v>
      </c>
    </row>
    <row r="463" spans="1:2" x14ac:dyDescent="0.2">
      <c r="A463">
        <v>561</v>
      </c>
      <c r="B463">
        <v>3.0000000000000001E-5</v>
      </c>
    </row>
    <row r="464" spans="1:2" x14ac:dyDescent="0.2">
      <c r="A464">
        <v>562</v>
      </c>
      <c r="B464">
        <v>3.0000000000000001E-5</v>
      </c>
    </row>
    <row r="465" spans="1:2" x14ac:dyDescent="0.2">
      <c r="A465">
        <v>563</v>
      </c>
      <c r="B465">
        <v>3.0000000000000001E-5</v>
      </c>
    </row>
    <row r="466" spans="1:2" x14ac:dyDescent="0.2">
      <c r="A466">
        <v>564</v>
      </c>
      <c r="B466">
        <v>3.0000000000000001E-5</v>
      </c>
    </row>
    <row r="467" spans="1:2" x14ac:dyDescent="0.2">
      <c r="A467">
        <v>565</v>
      </c>
      <c r="B467">
        <v>3.0000000000000001E-5</v>
      </c>
    </row>
    <row r="468" spans="1:2" x14ac:dyDescent="0.2">
      <c r="A468">
        <v>566</v>
      </c>
      <c r="B468">
        <v>3.0000000000000001E-5</v>
      </c>
    </row>
    <row r="469" spans="1:2" x14ac:dyDescent="0.2">
      <c r="A469">
        <v>567</v>
      </c>
      <c r="B469">
        <v>3.0000000000000001E-5</v>
      </c>
    </row>
    <row r="470" spans="1:2" x14ac:dyDescent="0.2">
      <c r="A470">
        <v>568</v>
      </c>
      <c r="B470">
        <v>3.0000000000000001E-5</v>
      </c>
    </row>
    <row r="471" spans="1:2" x14ac:dyDescent="0.2">
      <c r="A471">
        <v>569</v>
      </c>
      <c r="B471">
        <v>3.0000000000000001E-5</v>
      </c>
    </row>
    <row r="472" spans="1:2" x14ac:dyDescent="0.2">
      <c r="A472">
        <v>570</v>
      </c>
      <c r="B472">
        <v>3.0000000000000001E-5</v>
      </c>
    </row>
    <row r="473" spans="1:2" x14ac:dyDescent="0.2">
      <c r="A473">
        <v>571</v>
      </c>
      <c r="B473">
        <v>3.0000000000000001E-5</v>
      </c>
    </row>
    <row r="474" spans="1:2" x14ac:dyDescent="0.2">
      <c r="A474">
        <v>572</v>
      </c>
      <c r="B474">
        <v>3.0000000000000001E-5</v>
      </c>
    </row>
    <row r="475" spans="1:2" x14ac:dyDescent="0.2">
      <c r="A475">
        <v>573</v>
      </c>
      <c r="B475">
        <v>3.0000000000000001E-5</v>
      </c>
    </row>
    <row r="476" spans="1:2" x14ac:dyDescent="0.2">
      <c r="A476">
        <v>574</v>
      </c>
      <c r="B476">
        <v>3.0000000000000001E-5</v>
      </c>
    </row>
    <row r="477" spans="1:2" x14ac:dyDescent="0.2">
      <c r="A477">
        <v>575</v>
      </c>
      <c r="B477">
        <v>3.0000000000000001E-5</v>
      </c>
    </row>
    <row r="478" spans="1:2" x14ac:dyDescent="0.2">
      <c r="A478">
        <v>576</v>
      </c>
      <c r="B478">
        <v>3.0000000000000001E-5</v>
      </c>
    </row>
    <row r="479" spans="1:2" x14ac:dyDescent="0.2">
      <c r="A479">
        <v>577</v>
      </c>
      <c r="B479">
        <v>2.0000000000000002E-5</v>
      </c>
    </row>
    <row r="480" spans="1:2" x14ac:dyDescent="0.2">
      <c r="A480">
        <v>578</v>
      </c>
      <c r="B480">
        <v>2.0000000000000002E-5</v>
      </c>
    </row>
    <row r="481" spans="1:2" x14ac:dyDescent="0.2">
      <c r="A481">
        <v>579</v>
      </c>
      <c r="B481">
        <v>2.0000000000000002E-5</v>
      </c>
    </row>
    <row r="482" spans="1:2" x14ac:dyDescent="0.2">
      <c r="A482">
        <v>580</v>
      </c>
      <c r="B482">
        <v>2.0000000000000002E-5</v>
      </c>
    </row>
    <row r="483" spans="1:2" x14ac:dyDescent="0.2">
      <c r="A483">
        <v>581</v>
      </c>
      <c r="B483">
        <v>2.0000000000000002E-5</v>
      </c>
    </row>
    <row r="484" spans="1:2" x14ac:dyDescent="0.2">
      <c r="A484">
        <v>582</v>
      </c>
      <c r="B484">
        <v>2.0000000000000002E-5</v>
      </c>
    </row>
    <row r="485" spans="1:2" x14ac:dyDescent="0.2">
      <c r="A485">
        <v>583</v>
      </c>
      <c r="B485">
        <v>2.0000000000000002E-5</v>
      </c>
    </row>
    <row r="486" spans="1:2" x14ac:dyDescent="0.2">
      <c r="A486">
        <v>584</v>
      </c>
      <c r="B486">
        <v>2.0000000000000002E-5</v>
      </c>
    </row>
    <row r="487" spans="1:2" x14ac:dyDescent="0.2">
      <c r="A487">
        <v>585</v>
      </c>
      <c r="B487">
        <v>2.0000000000000002E-5</v>
      </c>
    </row>
    <row r="488" spans="1:2" x14ac:dyDescent="0.2">
      <c r="A488">
        <v>586</v>
      </c>
      <c r="B488">
        <v>2.0000000000000002E-5</v>
      </c>
    </row>
    <row r="489" spans="1:2" x14ac:dyDescent="0.2">
      <c r="A489">
        <v>587</v>
      </c>
      <c r="B489">
        <v>2.0000000000000002E-5</v>
      </c>
    </row>
    <row r="490" spans="1:2" x14ac:dyDescent="0.2">
      <c r="A490">
        <v>588</v>
      </c>
      <c r="B490">
        <v>2.0000000000000002E-5</v>
      </c>
    </row>
    <row r="491" spans="1:2" x14ac:dyDescent="0.2">
      <c r="A491">
        <v>589</v>
      </c>
      <c r="B491">
        <v>2.0000000000000002E-5</v>
      </c>
    </row>
    <row r="492" spans="1:2" x14ac:dyDescent="0.2">
      <c r="A492">
        <v>590</v>
      </c>
      <c r="B492">
        <v>2.0000000000000002E-5</v>
      </c>
    </row>
    <row r="493" spans="1:2" x14ac:dyDescent="0.2">
      <c r="A493">
        <v>591</v>
      </c>
      <c r="B493">
        <v>2.0000000000000002E-5</v>
      </c>
    </row>
    <row r="494" spans="1:2" x14ac:dyDescent="0.2">
      <c r="A494">
        <v>592</v>
      </c>
      <c r="B494">
        <v>2.0000000000000002E-5</v>
      </c>
    </row>
    <row r="495" spans="1:2" x14ac:dyDescent="0.2">
      <c r="A495">
        <v>593</v>
      </c>
      <c r="B495">
        <v>2.0000000000000002E-5</v>
      </c>
    </row>
    <row r="496" spans="1:2" x14ac:dyDescent="0.2">
      <c r="A496">
        <v>594</v>
      </c>
      <c r="B496">
        <v>2.0000000000000002E-5</v>
      </c>
    </row>
    <row r="497" spans="1:2" x14ac:dyDescent="0.2">
      <c r="A497">
        <v>595</v>
      </c>
      <c r="B497">
        <v>2.0000000000000002E-5</v>
      </c>
    </row>
    <row r="498" spans="1:2" x14ac:dyDescent="0.2">
      <c r="A498">
        <v>596</v>
      </c>
      <c r="B498">
        <v>2.0000000000000002E-5</v>
      </c>
    </row>
    <row r="499" spans="1:2" x14ac:dyDescent="0.2">
      <c r="A499">
        <v>597</v>
      </c>
      <c r="B499">
        <v>2.0000000000000002E-5</v>
      </c>
    </row>
    <row r="500" spans="1:2" x14ac:dyDescent="0.2">
      <c r="A500">
        <v>598</v>
      </c>
      <c r="B500">
        <v>2.0000000000000002E-5</v>
      </c>
    </row>
    <row r="501" spans="1:2" x14ac:dyDescent="0.2">
      <c r="A501">
        <v>599</v>
      </c>
      <c r="B501">
        <v>2.0000000000000002E-5</v>
      </c>
    </row>
    <row r="502" spans="1:2" x14ac:dyDescent="0.2">
      <c r="A502">
        <v>600</v>
      </c>
      <c r="B502">
        <v>2.0000000000000002E-5</v>
      </c>
    </row>
    <row r="503" spans="1:2" x14ac:dyDescent="0.2">
      <c r="A503">
        <v>601</v>
      </c>
      <c r="B503">
        <v>2.0000000000000002E-5</v>
      </c>
    </row>
    <row r="504" spans="1:2" x14ac:dyDescent="0.2">
      <c r="A504">
        <v>602</v>
      </c>
      <c r="B504">
        <v>2.0000000000000002E-5</v>
      </c>
    </row>
    <row r="505" spans="1:2" x14ac:dyDescent="0.2">
      <c r="A505">
        <v>603</v>
      </c>
      <c r="B505">
        <v>2.0000000000000002E-5</v>
      </c>
    </row>
    <row r="506" spans="1:2" x14ac:dyDescent="0.2">
      <c r="A506">
        <v>604</v>
      </c>
      <c r="B506">
        <v>2.0000000000000002E-5</v>
      </c>
    </row>
    <row r="507" spans="1:2" x14ac:dyDescent="0.2">
      <c r="A507">
        <v>605</v>
      </c>
      <c r="B507">
        <v>2.0000000000000002E-5</v>
      </c>
    </row>
    <row r="508" spans="1:2" x14ac:dyDescent="0.2">
      <c r="A508">
        <v>606</v>
      </c>
      <c r="B508">
        <v>2.0000000000000002E-5</v>
      </c>
    </row>
    <row r="509" spans="1:2" x14ac:dyDescent="0.2">
      <c r="A509">
        <v>607</v>
      </c>
      <c r="B509">
        <v>2.0000000000000002E-5</v>
      </c>
    </row>
    <row r="510" spans="1:2" x14ac:dyDescent="0.2">
      <c r="A510">
        <v>608</v>
      </c>
      <c r="B510">
        <v>2.0000000000000002E-5</v>
      </c>
    </row>
    <row r="511" spans="1:2" x14ac:dyDescent="0.2">
      <c r="A511">
        <v>609</v>
      </c>
      <c r="B511">
        <v>2.0000000000000002E-5</v>
      </c>
    </row>
    <row r="512" spans="1:2" x14ac:dyDescent="0.2">
      <c r="A512">
        <v>610</v>
      </c>
      <c r="B512">
        <v>2.0000000000000002E-5</v>
      </c>
    </row>
    <row r="513" spans="1:2" x14ac:dyDescent="0.2">
      <c r="A513">
        <v>611</v>
      </c>
      <c r="B513">
        <v>2.0000000000000002E-5</v>
      </c>
    </row>
    <row r="514" spans="1:2" x14ac:dyDescent="0.2">
      <c r="A514">
        <v>612</v>
      </c>
      <c r="B514">
        <v>2.0000000000000002E-5</v>
      </c>
    </row>
    <row r="515" spans="1:2" x14ac:dyDescent="0.2">
      <c r="A515">
        <v>613</v>
      </c>
      <c r="B515">
        <v>2.0000000000000002E-5</v>
      </c>
    </row>
    <row r="516" spans="1:2" x14ac:dyDescent="0.2">
      <c r="A516">
        <v>614</v>
      </c>
      <c r="B516">
        <v>2.0000000000000002E-5</v>
      </c>
    </row>
    <row r="517" spans="1:2" x14ac:dyDescent="0.2">
      <c r="A517">
        <v>615</v>
      </c>
      <c r="B517">
        <v>2.0000000000000002E-5</v>
      </c>
    </row>
    <row r="518" spans="1:2" x14ac:dyDescent="0.2">
      <c r="A518">
        <v>616</v>
      </c>
      <c r="B518">
        <v>2.0000000000000002E-5</v>
      </c>
    </row>
    <row r="519" spans="1:2" x14ac:dyDescent="0.2">
      <c r="A519">
        <v>617</v>
      </c>
      <c r="B519">
        <v>2.0000000000000002E-5</v>
      </c>
    </row>
    <row r="520" spans="1:2" x14ac:dyDescent="0.2">
      <c r="A520">
        <v>618</v>
      </c>
      <c r="B520">
        <v>2.0000000000000002E-5</v>
      </c>
    </row>
    <row r="521" spans="1:2" x14ac:dyDescent="0.2">
      <c r="A521">
        <v>619</v>
      </c>
      <c r="B521">
        <v>2.0000000000000002E-5</v>
      </c>
    </row>
    <row r="522" spans="1:2" x14ac:dyDescent="0.2">
      <c r="A522">
        <v>620</v>
      </c>
      <c r="B522">
        <v>2.0000000000000002E-5</v>
      </c>
    </row>
    <row r="523" spans="1:2" x14ac:dyDescent="0.2">
      <c r="A523">
        <v>621</v>
      </c>
      <c r="B523">
        <v>2.0000000000000002E-5</v>
      </c>
    </row>
    <row r="524" spans="1:2" x14ac:dyDescent="0.2">
      <c r="A524">
        <v>622</v>
      </c>
      <c r="B524">
        <v>2.0000000000000002E-5</v>
      </c>
    </row>
    <row r="525" spans="1:2" x14ac:dyDescent="0.2">
      <c r="A525">
        <v>623</v>
      </c>
      <c r="B525">
        <v>2.0000000000000002E-5</v>
      </c>
    </row>
    <row r="526" spans="1:2" x14ac:dyDescent="0.2">
      <c r="A526">
        <v>624</v>
      </c>
      <c r="B526">
        <v>2.0000000000000002E-5</v>
      </c>
    </row>
    <row r="527" spans="1:2" x14ac:dyDescent="0.2">
      <c r="A527">
        <v>625</v>
      </c>
      <c r="B527">
        <v>2.0000000000000002E-5</v>
      </c>
    </row>
    <row r="528" spans="1:2" x14ac:dyDescent="0.2">
      <c r="A528">
        <v>626</v>
      </c>
      <c r="B528">
        <v>2.0000000000000002E-5</v>
      </c>
    </row>
    <row r="529" spans="1:2" x14ac:dyDescent="0.2">
      <c r="A529">
        <v>627</v>
      </c>
      <c r="B529">
        <v>2.0000000000000002E-5</v>
      </c>
    </row>
    <row r="530" spans="1:2" x14ac:dyDescent="0.2">
      <c r="A530">
        <v>628</v>
      </c>
      <c r="B530">
        <v>2.0000000000000002E-5</v>
      </c>
    </row>
    <row r="531" spans="1:2" x14ac:dyDescent="0.2">
      <c r="A531">
        <v>629</v>
      </c>
      <c r="B531">
        <v>2.0000000000000002E-5</v>
      </c>
    </row>
    <row r="532" spans="1:2" x14ac:dyDescent="0.2">
      <c r="A532">
        <v>630</v>
      </c>
      <c r="B532">
        <v>2.0000000000000002E-5</v>
      </c>
    </row>
    <row r="533" spans="1:2" x14ac:dyDescent="0.2">
      <c r="A533">
        <v>631</v>
      </c>
      <c r="B533">
        <v>2.0000000000000002E-5</v>
      </c>
    </row>
    <row r="534" spans="1:2" x14ac:dyDescent="0.2">
      <c r="A534">
        <v>632</v>
      </c>
      <c r="B534">
        <v>2.0000000000000002E-5</v>
      </c>
    </row>
    <row r="535" spans="1:2" x14ac:dyDescent="0.2">
      <c r="A535">
        <v>633</v>
      </c>
      <c r="B535">
        <v>2.0000000000000002E-5</v>
      </c>
    </row>
    <row r="536" spans="1:2" x14ac:dyDescent="0.2">
      <c r="A536">
        <v>634</v>
      </c>
      <c r="B536">
        <v>2.0000000000000002E-5</v>
      </c>
    </row>
    <row r="537" spans="1:2" x14ac:dyDescent="0.2">
      <c r="A537">
        <v>635</v>
      </c>
      <c r="B537">
        <v>2.0000000000000002E-5</v>
      </c>
    </row>
    <row r="538" spans="1:2" x14ac:dyDescent="0.2">
      <c r="A538">
        <v>636</v>
      </c>
      <c r="B538">
        <v>2.0000000000000002E-5</v>
      </c>
    </row>
    <row r="539" spans="1:2" x14ac:dyDescent="0.2">
      <c r="A539">
        <v>637</v>
      </c>
      <c r="B539">
        <v>2.0000000000000002E-5</v>
      </c>
    </row>
    <row r="540" spans="1:2" x14ac:dyDescent="0.2">
      <c r="A540">
        <v>638</v>
      </c>
      <c r="B540">
        <v>2.0000000000000002E-5</v>
      </c>
    </row>
    <row r="541" spans="1:2" x14ac:dyDescent="0.2">
      <c r="A541">
        <v>639</v>
      </c>
      <c r="B541">
        <v>2.0000000000000002E-5</v>
      </c>
    </row>
    <row r="542" spans="1:2" x14ac:dyDescent="0.2">
      <c r="A542">
        <v>640</v>
      </c>
      <c r="B542">
        <v>2.0000000000000002E-5</v>
      </c>
    </row>
    <row r="543" spans="1:2" x14ac:dyDescent="0.2">
      <c r="A543">
        <v>641</v>
      </c>
      <c r="B543">
        <v>2.0000000000000002E-5</v>
      </c>
    </row>
    <row r="544" spans="1:2" x14ac:dyDescent="0.2">
      <c r="A544">
        <v>642</v>
      </c>
      <c r="B544">
        <v>2.0000000000000002E-5</v>
      </c>
    </row>
    <row r="545" spans="1:2" x14ac:dyDescent="0.2">
      <c r="A545">
        <v>643</v>
      </c>
      <c r="B545">
        <v>2.0000000000000002E-5</v>
      </c>
    </row>
    <row r="546" spans="1:2" x14ac:dyDescent="0.2">
      <c r="A546">
        <v>644</v>
      </c>
      <c r="B546">
        <v>2.0000000000000002E-5</v>
      </c>
    </row>
    <row r="547" spans="1:2" x14ac:dyDescent="0.2">
      <c r="A547">
        <v>645</v>
      </c>
      <c r="B547">
        <v>2.0000000000000002E-5</v>
      </c>
    </row>
    <row r="548" spans="1:2" x14ac:dyDescent="0.2">
      <c r="A548">
        <v>646</v>
      </c>
      <c r="B548">
        <v>2.0000000000000002E-5</v>
      </c>
    </row>
    <row r="549" spans="1:2" x14ac:dyDescent="0.2">
      <c r="A549">
        <v>647</v>
      </c>
      <c r="B549">
        <v>2.0000000000000002E-5</v>
      </c>
    </row>
    <row r="550" spans="1:2" x14ac:dyDescent="0.2">
      <c r="A550">
        <v>648</v>
      </c>
      <c r="B550">
        <v>2.0000000000000002E-5</v>
      </c>
    </row>
    <row r="551" spans="1:2" x14ac:dyDescent="0.2">
      <c r="A551">
        <v>649</v>
      </c>
      <c r="B551">
        <v>2.0000000000000002E-5</v>
      </c>
    </row>
    <row r="552" spans="1:2" x14ac:dyDescent="0.2">
      <c r="A552">
        <v>650</v>
      </c>
      <c r="B552">
        <v>2.0000000000000002E-5</v>
      </c>
    </row>
    <row r="553" spans="1:2" x14ac:dyDescent="0.2">
      <c r="A553">
        <v>651</v>
      </c>
      <c r="B553">
        <v>2.0000000000000002E-5</v>
      </c>
    </row>
    <row r="554" spans="1:2" x14ac:dyDescent="0.2">
      <c r="A554">
        <v>652</v>
      </c>
      <c r="B554">
        <v>2.0000000000000002E-5</v>
      </c>
    </row>
    <row r="555" spans="1:2" x14ac:dyDescent="0.2">
      <c r="A555">
        <v>653</v>
      </c>
      <c r="B555">
        <v>2.0000000000000002E-5</v>
      </c>
    </row>
    <row r="556" spans="1:2" x14ac:dyDescent="0.2">
      <c r="A556">
        <v>654</v>
      </c>
      <c r="B556">
        <v>2.0000000000000002E-5</v>
      </c>
    </row>
    <row r="557" spans="1:2" x14ac:dyDescent="0.2">
      <c r="A557">
        <v>655</v>
      </c>
      <c r="B557">
        <v>2.0000000000000002E-5</v>
      </c>
    </row>
    <row r="558" spans="1:2" x14ac:dyDescent="0.2">
      <c r="A558">
        <v>656</v>
      </c>
      <c r="B558">
        <v>2.0000000000000002E-5</v>
      </c>
    </row>
    <row r="559" spans="1:2" x14ac:dyDescent="0.2">
      <c r="A559">
        <v>657</v>
      </c>
      <c r="B559">
        <v>2.0000000000000002E-5</v>
      </c>
    </row>
    <row r="560" spans="1:2" x14ac:dyDescent="0.2">
      <c r="A560">
        <v>658</v>
      </c>
      <c r="B560">
        <v>2.0000000000000002E-5</v>
      </c>
    </row>
    <row r="561" spans="1:2" x14ac:dyDescent="0.2">
      <c r="A561">
        <v>659</v>
      </c>
      <c r="B561">
        <v>2.0000000000000002E-5</v>
      </c>
    </row>
    <row r="562" spans="1:2" x14ac:dyDescent="0.2">
      <c r="A562">
        <v>660</v>
      </c>
      <c r="B562">
        <v>2.0000000000000002E-5</v>
      </c>
    </row>
    <row r="563" spans="1:2" x14ac:dyDescent="0.2">
      <c r="A563">
        <v>661</v>
      </c>
      <c r="B563">
        <v>2.0000000000000002E-5</v>
      </c>
    </row>
    <row r="564" spans="1:2" x14ac:dyDescent="0.2">
      <c r="A564">
        <v>662</v>
      </c>
      <c r="B564">
        <v>2.0000000000000002E-5</v>
      </c>
    </row>
    <row r="565" spans="1:2" x14ac:dyDescent="0.2">
      <c r="A565">
        <v>663</v>
      </c>
      <c r="B565">
        <v>2.0000000000000002E-5</v>
      </c>
    </row>
    <row r="566" spans="1:2" x14ac:dyDescent="0.2">
      <c r="A566">
        <v>664</v>
      </c>
      <c r="B566">
        <v>2.0000000000000002E-5</v>
      </c>
    </row>
    <row r="567" spans="1:2" x14ac:dyDescent="0.2">
      <c r="A567">
        <v>665</v>
      </c>
      <c r="B567">
        <v>2.0000000000000002E-5</v>
      </c>
    </row>
    <row r="568" spans="1:2" x14ac:dyDescent="0.2">
      <c r="A568">
        <v>666</v>
      </c>
      <c r="B568">
        <v>2.0000000000000002E-5</v>
      </c>
    </row>
    <row r="569" spans="1:2" x14ac:dyDescent="0.2">
      <c r="A569">
        <v>667</v>
      </c>
      <c r="B569">
        <v>2.0000000000000002E-5</v>
      </c>
    </row>
    <row r="570" spans="1:2" x14ac:dyDescent="0.2">
      <c r="A570">
        <v>668</v>
      </c>
      <c r="B570">
        <v>2.0000000000000002E-5</v>
      </c>
    </row>
    <row r="571" spans="1:2" x14ac:dyDescent="0.2">
      <c r="A571">
        <v>669</v>
      </c>
      <c r="B571">
        <v>2.0000000000000002E-5</v>
      </c>
    </row>
    <row r="572" spans="1:2" x14ac:dyDescent="0.2">
      <c r="A572">
        <v>670</v>
      </c>
      <c r="B572">
        <v>2.0000000000000002E-5</v>
      </c>
    </row>
    <row r="573" spans="1:2" x14ac:dyDescent="0.2">
      <c r="A573">
        <v>671</v>
      </c>
      <c r="B573">
        <v>2.0000000000000002E-5</v>
      </c>
    </row>
    <row r="574" spans="1:2" x14ac:dyDescent="0.2">
      <c r="A574">
        <v>672</v>
      </c>
      <c r="B574">
        <v>2.0000000000000002E-5</v>
      </c>
    </row>
    <row r="575" spans="1:2" x14ac:dyDescent="0.2">
      <c r="A575">
        <v>673</v>
      </c>
      <c r="B575">
        <v>2.0000000000000002E-5</v>
      </c>
    </row>
    <row r="576" spans="1:2" x14ac:dyDescent="0.2">
      <c r="A576">
        <v>674</v>
      </c>
      <c r="B576">
        <v>2.0000000000000002E-5</v>
      </c>
    </row>
    <row r="577" spans="1:2" x14ac:dyDescent="0.2">
      <c r="A577">
        <v>675</v>
      </c>
      <c r="B577">
        <v>2.0000000000000002E-5</v>
      </c>
    </row>
    <row r="578" spans="1:2" x14ac:dyDescent="0.2">
      <c r="A578">
        <v>676</v>
      </c>
      <c r="B578">
        <v>2.0000000000000002E-5</v>
      </c>
    </row>
    <row r="579" spans="1:2" x14ac:dyDescent="0.2">
      <c r="A579">
        <v>677</v>
      </c>
      <c r="B579">
        <v>2.0000000000000002E-5</v>
      </c>
    </row>
    <row r="580" spans="1:2" x14ac:dyDescent="0.2">
      <c r="A580">
        <v>678</v>
      </c>
      <c r="B580">
        <v>2.0000000000000002E-5</v>
      </c>
    </row>
    <row r="581" spans="1:2" x14ac:dyDescent="0.2">
      <c r="A581">
        <v>679</v>
      </c>
      <c r="B581">
        <v>2.0000000000000002E-5</v>
      </c>
    </row>
    <row r="582" spans="1:2" x14ac:dyDescent="0.2">
      <c r="A582">
        <v>680</v>
      </c>
      <c r="B582">
        <v>2.0000000000000002E-5</v>
      </c>
    </row>
    <row r="583" spans="1:2" x14ac:dyDescent="0.2">
      <c r="A583">
        <v>681</v>
      </c>
      <c r="B583">
        <v>2.0000000000000002E-5</v>
      </c>
    </row>
    <row r="584" spans="1:2" x14ac:dyDescent="0.2">
      <c r="A584">
        <v>682</v>
      </c>
      <c r="B584">
        <v>2.0000000000000002E-5</v>
      </c>
    </row>
    <row r="585" spans="1:2" x14ac:dyDescent="0.2">
      <c r="A585">
        <v>683</v>
      </c>
      <c r="B585">
        <v>2.0000000000000002E-5</v>
      </c>
    </row>
    <row r="586" spans="1:2" x14ac:dyDescent="0.2">
      <c r="A586">
        <v>684</v>
      </c>
      <c r="B586">
        <v>2.0000000000000002E-5</v>
      </c>
    </row>
    <row r="587" spans="1:2" x14ac:dyDescent="0.2">
      <c r="A587">
        <v>685</v>
      </c>
      <c r="B587">
        <v>2.0000000000000002E-5</v>
      </c>
    </row>
    <row r="588" spans="1:2" x14ac:dyDescent="0.2">
      <c r="A588">
        <v>686</v>
      </c>
      <c r="B588">
        <v>2.0000000000000002E-5</v>
      </c>
    </row>
    <row r="589" spans="1:2" x14ac:dyDescent="0.2">
      <c r="A589">
        <v>687</v>
      </c>
      <c r="B589">
        <v>2.0000000000000002E-5</v>
      </c>
    </row>
    <row r="590" spans="1:2" x14ac:dyDescent="0.2">
      <c r="A590">
        <v>688</v>
      </c>
      <c r="B590">
        <v>2.0000000000000002E-5</v>
      </c>
    </row>
    <row r="591" spans="1:2" x14ac:dyDescent="0.2">
      <c r="A591">
        <v>689</v>
      </c>
      <c r="B591">
        <v>2.0000000000000002E-5</v>
      </c>
    </row>
    <row r="592" spans="1:2" x14ac:dyDescent="0.2">
      <c r="A592">
        <v>690</v>
      </c>
      <c r="B592">
        <v>2.0000000000000002E-5</v>
      </c>
    </row>
    <row r="593" spans="1:2" x14ac:dyDescent="0.2">
      <c r="A593">
        <v>691</v>
      </c>
      <c r="B593">
        <v>2.0000000000000002E-5</v>
      </c>
    </row>
    <row r="594" spans="1:2" x14ac:dyDescent="0.2">
      <c r="A594">
        <v>692</v>
      </c>
      <c r="B594">
        <v>2.0000000000000002E-5</v>
      </c>
    </row>
    <row r="595" spans="1:2" x14ac:dyDescent="0.2">
      <c r="A595">
        <v>693</v>
      </c>
      <c r="B595">
        <v>2.0000000000000002E-5</v>
      </c>
    </row>
    <row r="596" spans="1:2" x14ac:dyDescent="0.2">
      <c r="A596">
        <v>694</v>
      </c>
      <c r="B596">
        <v>2.0000000000000002E-5</v>
      </c>
    </row>
    <row r="597" spans="1:2" x14ac:dyDescent="0.2">
      <c r="A597">
        <v>695</v>
      </c>
      <c r="B597">
        <v>2.0000000000000002E-5</v>
      </c>
    </row>
    <row r="598" spans="1:2" x14ac:dyDescent="0.2">
      <c r="A598">
        <v>696</v>
      </c>
      <c r="B598">
        <v>2.0000000000000002E-5</v>
      </c>
    </row>
    <row r="599" spans="1:2" x14ac:dyDescent="0.2">
      <c r="A599">
        <v>697</v>
      </c>
      <c r="B599">
        <v>2.0000000000000002E-5</v>
      </c>
    </row>
    <row r="600" spans="1:2" x14ac:dyDescent="0.2">
      <c r="A600">
        <v>698</v>
      </c>
      <c r="B600">
        <v>2.0000000000000002E-5</v>
      </c>
    </row>
    <row r="601" spans="1:2" x14ac:dyDescent="0.2">
      <c r="A601">
        <v>699</v>
      </c>
      <c r="B601">
        <v>2.0000000000000002E-5</v>
      </c>
    </row>
    <row r="602" spans="1:2" x14ac:dyDescent="0.2">
      <c r="A602">
        <v>700</v>
      </c>
      <c r="B602">
        <v>2.0000000000000002E-5</v>
      </c>
    </row>
    <row r="603" spans="1:2" x14ac:dyDescent="0.2">
      <c r="A603">
        <v>701</v>
      </c>
      <c r="B603">
        <v>2.0000000000000002E-5</v>
      </c>
    </row>
    <row r="604" spans="1:2" x14ac:dyDescent="0.2">
      <c r="A604">
        <v>702</v>
      </c>
      <c r="B604">
        <v>2.0000000000000002E-5</v>
      </c>
    </row>
    <row r="605" spans="1:2" x14ac:dyDescent="0.2">
      <c r="A605">
        <v>703</v>
      </c>
      <c r="B605">
        <v>2.0000000000000002E-5</v>
      </c>
    </row>
    <row r="606" spans="1:2" x14ac:dyDescent="0.2">
      <c r="A606">
        <v>704</v>
      </c>
      <c r="B606">
        <v>2.0000000000000002E-5</v>
      </c>
    </row>
    <row r="607" spans="1:2" x14ac:dyDescent="0.2">
      <c r="A607">
        <v>705</v>
      </c>
      <c r="B607">
        <v>2.0000000000000002E-5</v>
      </c>
    </row>
    <row r="608" spans="1:2" x14ac:dyDescent="0.2">
      <c r="A608">
        <v>706</v>
      </c>
      <c r="B608">
        <v>2.0000000000000002E-5</v>
      </c>
    </row>
    <row r="609" spans="1:2" x14ac:dyDescent="0.2">
      <c r="A609">
        <v>707</v>
      </c>
      <c r="B609">
        <v>2.0000000000000002E-5</v>
      </c>
    </row>
    <row r="610" spans="1:2" x14ac:dyDescent="0.2">
      <c r="A610">
        <v>708</v>
      </c>
      <c r="B610">
        <v>2.0000000000000002E-5</v>
      </c>
    </row>
    <row r="611" spans="1:2" x14ac:dyDescent="0.2">
      <c r="A611">
        <v>709</v>
      </c>
      <c r="B611">
        <v>2.0000000000000002E-5</v>
      </c>
    </row>
    <row r="612" spans="1:2" x14ac:dyDescent="0.2">
      <c r="A612">
        <v>710</v>
      </c>
      <c r="B612">
        <v>2.0000000000000002E-5</v>
      </c>
    </row>
    <row r="613" spans="1:2" x14ac:dyDescent="0.2">
      <c r="A613">
        <v>711</v>
      </c>
      <c r="B613">
        <v>2.0000000000000002E-5</v>
      </c>
    </row>
    <row r="614" spans="1:2" x14ac:dyDescent="0.2">
      <c r="A614">
        <v>712</v>
      </c>
      <c r="B614">
        <v>2.0000000000000002E-5</v>
      </c>
    </row>
    <row r="615" spans="1:2" x14ac:dyDescent="0.2">
      <c r="A615">
        <v>713</v>
      </c>
      <c r="B615">
        <v>2.0000000000000002E-5</v>
      </c>
    </row>
    <row r="616" spans="1:2" x14ac:dyDescent="0.2">
      <c r="A616">
        <v>714</v>
      </c>
      <c r="B616">
        <v>2.0000000000000002E-5</v>
      </c>
    </row>
    <row r="617" spans="1:2" x14ac:dyDescent="0.2">
      <c r="A617">
        <v>715</v>
      </c>
      <c r="B617">
        <v>2.0000000000000002E-5</v>
      </c>
    </row>
    <row r="618" spans="1:2" x14ac:dyDescent="0.2">
      <c r="A618">
        <v>716</v>
      </c>
      <c r="B618">
        <v>2.0000000000000002E-5</v>
      </c>
    </row>
    <row r="619" spans="1:2" x14ac:dyDescent="0.2">
      <c r="A619">
        <v>717</v>
      </c>
      <c r="B619">
        <v>2.0000000000000002E-5</v>
      </c>
    </row>
    <row r="620" spans="1:2" x14ac:dyDescent="0.2">
      <c r="A620">
        <v>718</v>
      </c>
      <c r="B620">
        <v>2.0000000000000002E-5</v>
      </c>
    </row>
    <row r="621" spans="1:2" x14ac:dyDescent="0.2">
      <c r="A621">
        <v>719</v>
      </c>
      <c r="B621">
        <v>2.0000000000000002E-5</v>
      </c>
    </row>
    <row r="622" spans="1:2" x14ac:dyDescent="0.2">
      <c r="A622">
        <v>720</v>
      </c>
      <c r="B622">
        <v>2.0000000000000002E-5</v>
      </c>
    </row>
    <row r="623" spans="1:2" x14ac:dyDescent="0.2">
      <c r="A623">
        <v>721</v>
      </c>
      <c r="B623">
        <v>2.0000000000000002E-5</v>
      </c>
    </row>
    <row r="624" spans="1:2" x14ac:dyDescent="0.2">
      <c r="A624">
        <v>722</v>
      </c>
      <c r="B624">
        <v>2.0000000000000002E-5</v>
      </c>
    </row>
    <row r="625" spans="1:2" x14ac:dyDescent="0.2">
      <c r="A625">
        <v>723</v>
      </c>
      <c r="B625">
        <v>2.0000000000000002E-5</v>
      </c>
    </row>
    <row r="626" spans="1:2" x14ac:dyDescent="0.2">
      <c r="A626">
        <v>724</v>
      </c>
      <c r="B626">
        <v>2.0000000000000002E-5</v>
      </c>
    </row>
    <row r="627" spans="1:2" x14ac:dyDescent="0.2">
      <c r="A627">
        <v>725</v>
      </c>
      <c r="B627">
        <v>2.0000000000000002E-5</v>
      </c>
    </row>
    <row r="628" spans="1:2" x14ac:dyDescent="0.2">
      <c r="A628">
        <v>726</v>
      </c>
      <c r="B628">
        <v>2.0000000000000002E-5</v>
      </c>
    </row>
    <row r="629" spans="1:2" x14ac:dyDescent="0.2">
      <c r="A629">
        <v>727</v>
      </c>
      <c r="B629">
        <v>2.0000000000000002E-5</v>
      </c>
    </row>
    <row r="630" spans="1:2" x14ac:dyDescent="0.2">
      <c r="A630">
        <v>728</v>
      </c>
      <c r="B630">
        <v>2.0000000000000002E-5</v>
      </c>
    </row>
    <row r="631" spans="1:2" x14ac:dyDescent="0.2">
      <c r="A631">
        <v>729</v>
      </c>
      <c r="B631">
        <v>2.0000000000000002E-5</v>
      </c>
    </row>
    <row r="632" spans="1:2" x14ac:dyDescent="0.2">
      <c r="A632">
        <v>730</v>
      </c>
      <c r="B632">
        <v>2.0000000000000002E-5</v>
      </c>
    </row>
    <row r="633" spans="1:2" x14ac:dyDescent="0.2">
      <c r="A633">
        <v>731</v>
      </c>
      <c r="B633">
        <v>2.0000000000000002E-5</v>
      </c>
    </row>
    <row r="634" spans="1:2" x14ac:dyDescent="0.2">
      <c r="A634">
        <v>732</v>
      </c>
      <c r="B634">
        <v>2.0000000000000002E-5</v>
      </c>
    </row>
    <row r="635" spans="1:2" x14ac:dyDescent="0.2">
      <c r="A635">
        <v>733</v>
      </c>
      <c r="B635">
        <v>2.0000000000000002E-5</v>
      </c>
    </row>
    <row r="636" spans="1:2" x14ac:dyDescent="0.2">
      <c r="A636">
        <v>734</v>
      </c>
      <c r="B636">
        <v>2.0000000000000002E-5</v>
      </c>
    </row>
    <row r="637" spans="1:2" x14ac:dyDescent="0.2">
      <c r="A637">
        <v>735</v>
      </c>
      <c r="B637">
        <v>2.0000000000000002E-5</v>
      </c>
    </row>
    <row r="638" spans="1:2" x14ac:dyDescent="0.2">
      <c r="A638">
        <v>736</v>
      </c>
      <c r="B638">
        <v>2.0000000000000002E-5</v>
      </c>
    </row>
    <row r="639" spans="1:2" x14ac:dyDescent="0.2">
      <c r="A639">
        <v>737</v>
      </c>
      <c r="B639">
        <v>2.0000000000000002E-5</v>
      </c>
    </row>
    <row r="640" spans="1:2" x14ac:dyDescent="0.2">
      <c r="A640">
        <v>738</v>
      </c>
      <c r="B640">
        <v>2.0000000000000002E-5</v>
      </c>
    </row>
    <row r="641" spans="1:2" x14ac:dyDescent="0.2">
      <c r="A641">
        <v>739</v>
      </c>
      <c r="B641">
        <v>2.0000000000000002E-5</v>
      </c>
    </row>
    <row r="642" spans="1:2" x14ac:dyDescent="0.2">
      <c r="A642">
        <v>740</v>
      </c>
      <c r="B642">
        <v>2.0000000000000002E-5</v>
      </c>
    </row>
    <row r="643" spans="1:2" x14ac:dyDescent="0.2">
      <c r="A643">
        <v>741</v>
      </c>
      <c r="B643">
        <v>2.0000000000000002E-5</v>
      </c>
    </row>
    <row r="644" spans="1:2" x14ac:dyDescent="0.2">
      <c r="A644">
        <v>742</v>
      </c>
      <c r="B644">
        <v>2.0000000000000002E-5</v>
      </c>
    </row>
    <row r="645" spans="1:2" x14ac:dyDescent="0.2">
      <c r="A645">
        <v>743</v>
      </c>
      <c r="B645">
        <v>2.0000000000000002E-5</v>
      </c>
    </row>
    <row r="646" spans="1:2" x14ac:dyDescent="0.2">
      <c r="A646">
        <v>744</v>
      </c>
      <c r="B646">
        <v>2.0000000000000002E-5</v>
      </c>
    </row>
    <row r="647" spans="1:2" x14ac:dyDescent="0.2">
      <c r="A647">
        <v>745</v>
      </c>
      <c r="B647">
        <v>2.0000000000000002E-5</v>
      </c>
    </row>
    <row r="648" spans="1:2" x14ac:dyDescent="0.2">
      <c r="A648">
        <v>746</v>
      </c>
      <c r="B648">
        <v>2.0000000000000002E-5</v>
      </c>
    </row>
    <row r="649" spans="1:2" x14ac:dyDescent="0.2">
      <c r="A649">
        <v>747</v>
      </c>
      <c r="B649">
        <v>2.0000000000000002E-5</v>
      </c>
    </row>
    <row r="650" spans="1:2" x14ac:dyDescent="0.2">
      <c r="A650">
        <v>748</v>
      </c>
      <c r="B650">
        <v>2.0000000000000002E-5</v>
      </c>
    </row>
    <row r="651" spans="1:2" x14ac:dyDescent="0.2">
      <c r="A651">
        <v>749</v>
      </c>
      <c r="B651">
        <v>2.0000000000000002E-5</v>
      </c>
    </row>
    <row r="652" spans="1:2" x14ac:dyDescent="0.2">
      <c r="A652">
        <v>750</v>
      </c>
      <c r="B652">
        <v>2.0000000000000002E-5</v>
      </c>
    </row>
    <row r="653" spans="1:2" x14ac:dyDescent="0.2">
      <c r="A653">
        <v>751</v>
      </c>
      <c r="B653">
        <v>2.0000000000000002E-5</v>
      </c>
    </row>
    <row r="654" spans="1:2" x14ac:dyDescent="0.2">
      <c r="A654">
        <v>752</v>
      </c>
      <c r="B654">
        <v>2.0000000000000002E-5</v>
      </c>
    </row>
    <row r="655" spans="1:2" x14ac:dyDescent="0.2">
      <c r="A655">
        <v>753</v>
      </c>
      <c r="B655">
        <v>2.0000000000000002E-5</v>
      </c>
    </row>
    <row r="656" spans="1:2" x14ac:dyDescent="0.2">
      <c r="A656">
        <v>754</v>
      </c>
      <c r="B656">
        <v>2.0000000000000002E-5</v>
      </c>
    </row>
    <row r="657" spans="1:2" x14ac:dyDescent="0.2">
      <c r="A657">
        <v>755</v>
      </c>
      <c r="B657">
        <v>3.0000000000000001E-5</v>
      </c>
    </row>
    <row r="658" spans="1:2" x14ac:dyDescent="0.2">
      <c r="A658">
        <v>756</v>
      </c>
      <c r="B658">
        <v>3.0000000000000001E-5</v>
      </c>
    </row>
    <row r="659" spans="1:2" x14ac:dyDescent="0.2">
      <c r="A659">
        <v>757</v>
      </c>
      <c r="B659">
        <v>3.0000000000000001E-5</v>
      </c>
    </row>
    <row r="660" spans="1:2" x14ac:dyDescent="0.2">
      <c r="A660">
        <v>758</v>
      </c>
      <c r="B660">
        <v>3.0000000000000001E-5</v>
      </c>
    </row>
    <row r="661" spans="1:2" x14ac:dyDescent="0.2">
      <c r="A661">
        <v>759</v>
      </c>
      <c r="B661">
        <v>3.0000000000000001E-5</v>
      </c>
    </row>
    <row r="662" spans="1:2" x14ac:dyDescent="0.2">
      <c r="A662">
        <v>760</v>
      </c>
      <c r="B662">
        <v>3.0000000000000001E-5</v>
      </c>
    </row>
    <row r="663" spans="1:2" x14ac:dyDescent="0.2">
      <c r="A663">
        <v>761</v>
      </c>
      <c r="B663">
        <v>3.0000000000000001E-5</v>
      </c>
    </row>
    <row r="664" spans="1:2" x14ac:dyDescent="0.2">
      <c r="A664">
        <v>762</v>
      </c>
      <c r="B664">
        <v>3.0000000000000001E-5</v>
      </c>
    </row>
    <row r="665" spans="1:2" x14ac:dyDescent="0.2">
      <c r="A665">
        <v>763</v>
      </c>
      <c r="B665">
        <v>3.0000000000000001E-5</v>
      </c>
    </row>
    <row r="666" spans="1:2" x14ac:dyDescent="0.2">
      <c r="A666">
        <v>764</v>
      </c>
      <c r="B666">
        <v>3.0000000000000001E-5</v>
      </c>
    </row>
    <row r="667" spans="1:2" x14ac:dyDescent="0.2">
      <c r="A667">
        <v>765</v>
      </c>
      <c r="B667">
        <v>3.0000000000000001E-5</v>
      </c>
    </row>
    <row r="668" spans="1:2" x14ac:dyDescent="0.2">
      <c r="A668">
        <v>766</v>
      </c>
      <c r="B668">
        <v>3.0000000000000001E-5</v>
      </c>
    </row>
    <row r="669" spans="1:2" x14ac:dyDescent="0.2">
      <c r="A669">
        <v>767</v>
      </c>
      <c r="B669">
        <v>3.0000000000000001E-5</v>
      </c>
    </row>
    <row r="670" spans="1:2" x14ac:dyDescent="0.2">
      <c r="A670">
        <v>768</v>
      </c>
      <c r="B670">
        <v>3.0000000000000001E-5</v>
      </c>
    </row>
    <row r="671" spans="1:2" x14ac:dyDescent="0.2">
      <c r="A671">
        <v>769</v>
      </c>
      <c r="B671">
        <v>3.0000000000000001E-5</v>
      </c>
    </row>
    <row r="672" spans="1:2" x14ac:dyDescent="0.2">
      <c r="A672">
        <v>770</v>
      </c>
      <c r="B672">
        <v>3.0000000000000001E-5</v>
      </c>
    </row>
    <row r="673" spans="1:2" x14ac:dyDescent="0.2">
      <c r="A673">
        <v>771</v>
      </c>
      <c r="B673">
        <v>3.0000000000000001E-5</v>
      </c>
    </row>
    <row r="674" spans="1:2" x14ac:dyDescent="0.2">
      <c r="A674">
        <v>772</v>
      </c>
      <c r="B674">
        <v>4.0000000000000003E-5</v>
      </c>
    </row>
    <row r="675" spans="1:2" x14ac:dyDescent="0.2">
      <c r="A675">
        <v>773</v>
      </c>
      <c r="B675">
        <v>4.0000000000000003E-5</v>
      </c>
    </row>
    <row r="676" spans="1:2" x14ac:dyDescent="0.2">
      <c r="A676">
        <v>774</v>
      </c>
      <c r="B676">
        <v>4.0000000000000003E-5</v>
      </c>
    </row>
    <row r="677" spans="1:2" x14ac:dyDescent="0.2">
      <c r="A677">
        <v>775</v>
      </c>
      <c r="B677">
        <v>4.0000000000000003E-5</v>
      </c>
    </row>
    <row r="678" spans="1:2" x14ac:dyDescent="0.2">
      <c r="A678">
        <v>776</v>
      </c>
      <c r="B678">
        <v>4.0000000000000003E-5</v>
      </c>
    </row>
    <row r="679" spans="1:2" x14ac:dyDescent="0.2">
      <c r="A679">
        <v>777</v>
      </c>
      <c r="B679">
        <v>4.0000000000000003E-5</v>
      </c>
    </row>
    <row r="680" spans="1:2" x14ac:dyDescent="0.2">
      <c r="A680">
        <v>778</v>
      </c>
      <c r="B680">
        <v>4.0000000000000003E-5</v>
      </c>
    </row>
    <row r="681" spans="1:2" x14ac:dyDescent="0.2">
      <c r="A681">
        <v>779</v>
      </c>
      <c r="B681">
        <v>4.0000000000000003E-5</v>
      </c>
    </row>
    <row r="682" spans="1:2" x14ac:dyDescent="0.2">
      <c r="A682">
        <v>780</v>
      </c>
      <c r="B682">
        <v>4.0000000000000003E-5</v>
      </c>
    </row>
    <row r="683" spans="1:2" x14ac:dyDescent="0.2">
      <c r="A683">
        <v>781</v>
      </c>
      <c r="B683">
        <v>4.0000000000000003E-5</v>
      </c>
    </row>
    <row r="684" spans="1:2" x14ac:dyDescent="0.2">
      <c r="A684">
        <v>782</v>
      </c>
      <c r="B684">
        <v>4.0000000000000003E-5</v>
      </c>
    </row>
    <row r="685" spans="1:2" x14ac:dyDescent="0.2">
      <c r="A685">
        <v>783</v>
      </c>
      <c r="B685">
        <v>4.0000000000000003E-5</v>
      </c>
    </row>
    <row r="686" spans="1:2" x14ac:dyDescent="0.2">
      <c r="A686">
        <v>784</v>
      </c>
      <c r="B686">
        <v>4.0000000000000003E-5</v>
      </c>
    </row>
    <row r="687" spans="1:2" x14ac:dyDescent="0.2">
      <c r="A687">
        <v>785</v>
      </c>
      <c r="B687">
        <v>5.0000000000000002E-5</v>
      </c>
    </row>
    <row r="688" spans="1:2" x14ac:dyDescent="0.2">
      <c r="A688">
        <v>786</v>
      </c>
      <c r="B688">
        <v>5.0000000000000002E-5</v>
      </c>
    </row>
    <row r="689" spans="1:2" x14ac:dyDescent="0.2">
      <c r="A689">
        <v>787</v>
      </c>
      <c r="B689">
        <v>5.0000000000000002E-5</v>
      </c>
    </row>
    <row r="690" spans="1:2" x14ac:dyDescent="0.2">
      <c r="A690">
        <v>788</v>
      </c>
      <c r="B690">
        <v>5.0000000000000002E-5</v>
      </c>
    </row>
    <row r="691" spans="1:2" x14ac:dyDescent="0.2">
      <c r="A691">
        <v>789</v>
      </c>
      <c r="B691">
        <v>5.0000000000000002E-5</v>
      </c>
    </row>
    <row r="692" spans="1:2" x14ac:dyDescent="0.2">
      <c r="A692">
        <v>790</v>
      </c>
      <c r="B692">
        <v>5.0000000000000002E-5</v>
      </c>
    </row>
    <row r="693" spans="1:2" x14ac:dyDescent="0.2">
      <c r="A693">
        <v>791</v>
      </c>
      <c r="B693">
        <v>5.0000000000000002E-5</v>
      </c>
    </row>
    <row r="694" spans="1:2" x14ac:dyDescent="0.2">
      <c r="A694">
        <v>792</v>
      </c>
      <c r="B694">
        <v>5.0000000000000002E-5</v>
      </c>
    </row>
    <row r="695" spans="1:2" x14ac:dyDescent="0.2">
      <c r="A695">
        <v>793</v>
      </c>
      <c r="B695">
        <v>5.0000000000000002E-5</v>
      </c>
    </row>
    <row r="696" spans="1:2" x14ac:dyDescent="0.2">
      <c r="A696">
        <v>794</v>
      </c>
      <c r="B696">
        <v>5.0000000000000002E-5</v>
      </c>
    </row>
    <row r="697" spans="1:2" x14ac:dyDescent="0.2">
      <c r="A697">
        <v>795</v>
      </c>
      <c r="B697">
        <v>5.0000000000000002E-5</v>
      </c>
    </row>
    <row r="698" spans="1:2" x14ac:dyDescent="0.2">
      <c r="A698">
        <v>796</v>
      </c>
      <c r="B698">
        <v>6.0000000000000002E-5</v>
      </c>
    </row>
    <row r="699" spans="1:2" x14ac:dyDescent="0.2">
      <c r="A699">
        <v>797</v>
      </c>
      <c r="B699">
        <v>6.0000000000000002E-5</v>
      </c>
    </row>
    <row r="700" spans="1:2" x14ac:dyDescent="0.2">
      <c r="A700">
        <v>798</v>
      </c>
      <c r="B700">
        <v>6.0000000000000002E-5</v>
      </c>
    </row>
    <row r="701" spans="1:2" x14ac:dyDescent="0.2">
      <c r="A701">
        <v>799</v>
      </c>
      <c r="B701">
        <v>6.0000000000000002E-5</v>
      </c>
    </row>
    <row r="702" spans="1:2" x14ac:dyDescent="0.2">
      <c r="A702">
        <v>800</v>
      </c>
      <c r="B702">
        <v>6.0000000000000002E-5</v>
      </c>
    </row>
    <row r="703" spans="1:2" x14ac:dyDescent="0.2">
      <c r="A703">
        <v>801</v>
      </c>
      <c r="B703">
        <v>6.0000000000000002E-5</v>
      </c>
    </row>
    <row r="704" spans="1:2" x14ac:dyDescent="0.2">
      <c r="A704">
        <v>802</v>
      </c>
      <c r="B704">
        <v>6.0000000000000002E-5</v>
      </c>
    </row>
    <row r="705" spans="1:2" x14ac:dyDescent="0.2">
      <c r="A705">
        <v>803</v>
      </c>
      <c r="B705">
        <v>6.0000000000000002E-5</v>
      </c>
    </row>
    <row r="706" spans="1:2" x14ac:dyDescent="0.2">
      <c r="A706">
        <v>804</v>
      </c>
      <c r="B706">
        <v>6.9999999999999994E-5</v>
      </c>
    </row>
    <row r="707" spans="1:2" x14ac:dyDescent="0.2">
      <c r="A707">
        <v>805</v>
      </c>
      <c r="B707">
        <v>6.9999999999999994E-5</v>
      </c>
    </row>
    <row r="708" spans="1:2" x14ac:dyDescent="0.2">
      <c r="A708">
        <v>806</v>
      </c>
      <c r="B708">
        <v>6.9999999999999994E-5</v>
      </c>
    </row>
    <row r="709" spans="1:2" x14ac:dyDescent="0.2">
      <c r="A709">
        <v>807</v>
      </c>
      <c r="B709">
        <v>6.9999999999999994E-5</v>
      </c>
    </row>
    <row r="710" spans="1:2" x14ac:dyDescent="0.2">
      <c r="A710">
        <v>808</v>
      </c>
      <c r="B710">
        <v>6.9999999999999994E-5</v>
      </c>
    </row>
    <row r="711" spans="1:2" x14ac:dyDescent="0.2">
      <c r="A711">
        <v>809</v>
      </c>
      <c r="B711">
        <v>6.9999999999999994E-5</v>
      </c>
    </row>
    <row r="712" spans="1:2" x14ac:dyDescent="0.2">
      <c r="A712">
        <v>810</v>
      </c>
      <c r="B712">
        <v>8.0000000000000007E-5</v>
      </c>
    </row>
    <row r="713" spans="1:2" x14ac:dyDescent="0.2">
      <c r="A713">
        <v>811</v>
      </c>
      <c r="B713">
        <v>8.0000000000000007E-5</v>
      </c>
    </row>
    <row r="714" spans="1:2" x14ac:dyDescent="0.2">
      <c r="A714">
        <v>812</v>
      </c>
      <c r="B714">
        <v>8.0000000000000007E-5</v>
      </c>
    </row>
    <row r="715" spans="1:2" x14ac:dyDescent="0.2">
      <c r="A715">
        <v>813</v>
      </c>
      <c r="B715">
        <v>8.0000000000000007E-5</v>
      </c>
    </row>
    <row r="716" spans="1:2" x14ac:dyDescent="0.2">
      <c r="A716">
        <v>814</v>
      </c>
      <c r="B716">
        <v>8.0000000000000007E-5</v>
      </c>
    </row>
    <row r="717" spans="1:2" x14ac:dyDescent="0.2">
      <c r="A717">
        <v>815</v>
      </c>
      <c r="B717">
        <v>9.0000000000000006E-5</v>
      </c>
    </row>
    <row r="718" spans="1:2" x14ac:dyDescent="0.2">
      <c r="A718">
        <v>816</v>
      </c>
      <c r="B718">
        <v>9.0000000000000006E-5</v>
      </c>
    </row>
    <row r="719" spans="1:2" x14ac:dyDescent="0.2">
      <c r="A719">
        <v>817</v>
      </c>
      <c r="B719">
        <v>9.0000000000000006E-5</v>
      </c>
    </row>
    <row r="720" spans="1:2" x14ac:dyDescent="0.2">
      <c r="A720">
        <v>818</v>
      </c>
      <c r="B720">
        <v>9.0000000000000006E-5</v>
      </c>
    </row>
    <row r="721" spans="1:2" x14ac:dyDescent="0.2">
      <c r="A721">
        <v>819</v>
      </c>
      <c r="B721">
        <v>9.0000000000000006E-5</v>
      </c>
    </row>
    <row r="722" spans="1:2" x14ac:dyDescent="0.2">
      <c r="A722">
        <v>820</v>
      </c>
      <c r="B722">
        <v>1E-4</v>
      </c>
    </row>
    <row r="723" spans="1:2" x14ac:dyDescent="0.2">
      <c r="A723">
        <v>821</v>
      </c>
      <c r="B723">
        <v>1E-4</v>
      </c>
    </row>
    <row r="724" spans="1:2" x14ac:dyDescent="0.2">
      <c r="A724">
        <v>822</v>
      </c>
      <c r="B724">
        <v>1E-4</v>
      </c>
    </row>
    <row r="725" spans="1:2" x14ac:dyDescent="0.2">
      <c r="A725">
        <v>823</v>
      </c>
      <c r="B725">
        <v>1E-4</v>
      </c>
    </row>
    <row r="726" spans="1:2" x14ac:dyDescent="0.2">
      <c r="A726">
        <v>824</v>
      </c>
      <c r="B726">
        <v>1.1E-4</v>
      </c>
    </row>
    <row r="727" spans="1:2" x14ac:dyDescent="0.2">
      <c r="A727">
        <v>825</v>
      </c>
      <c r="B727">
        <v>1.1E-4</v>
      </c>
    </row>
    <row r="728" spans="1:2" x14ac:dyDescent="0.2">
      <c r="A728">
        <v>826</v>
      </c>
      <c r="B728">
        <v>1.1E-4</v>
      </c>
    </row>
    <row r="729" spans="1:2" x14ac:dyDescent="0.2">
      <c r="A729">
        <v>827</v>
      </c>
      <c r="B729">
        <v>1.1E-4</v>
      </c>
    </row>
    <row r="730" spans="1:2" x14ac:dyDescent="0.2">
      <c r="A730">
        <v>828</v>
      </c>
      <c r="B730">
        <v>1.2E-4</v>
      </c>
    </row>
    <row r="731" spans="1:2" x14ac:dyDescent="0.2">
      <c r="A731">
        <v>829</v>
      </c>
      <c r="B731">
        <v>1.2E-4</v>
      </c>
    </row>
    <row r="732" spans="1:2" x14ac:dyDescent="0.2">
      <c r="A732">
        <v>830</v>
      </c>
      <c r="B732">
        <v>1.2E-4</v>
      </c>
    </row>
    <row r="733" spans="1:2" x14ac:dyDescent="0.2">
      <c r="A733">
        <v>831</v>
      </c>
      <c r="B733">
        <v>1.2E-4</v>
      </c>
    </row>
    <row r="734" spans="1:2" x14ac:dyDescent="0.2">
      <c r="A734">
        <v>832</v>
      </c>
      <c r="B734">
        <v>1.2999999999999999E-4</v>
      </c>
    </row>
    <row r="735" spans="1:2" x14ac:dyDescent="0.2">
      <c r="A735">
        <v>833</v>
      </c>
      <c r="B735">
        <v>1.2999999999999999E-4</v>
      </c>
    </row>
    <row r="736" spans="1:2" x14ac:dyDescent="0.2">
      <c r="A736">
        <v>834</v>
      </c>
      <c r="B736">
        <v>1.2999999999999999E-4</v>
      </c>
    </row>
    <row r="737" spans="1:2" x14ac:dyDescent="0.2">
      <c r="A737">
        <v>835</v>
      </c>
      <c r="B737">
        <v>1.3999999999999999E-4</v>
      </c>
    </row>
    <row r="738" spans="1:2" x14ac:dyDescent="0.2">
      <c r="A738">
        <v>836</v>
      </c>
      <c r="B738">
        <v>1.3999999999999999E-4</v>
      </c>
    </row>
    <row r="739" spans="1:2" x14ac:dyDescent="0.2">
      <c r="A739">
        <v>837</v>
      </c>
      <c r="B739">
        <v>1.3999999999999999E-4</v>
      </c>
    </row>
    <row r="740" spans="1:2" x14ac:dyDescent="0.2">
      <c r="A740">
        <v>838</v>
      </c>
      <c r="B740">
        <v>1.4999999999999999E-4</v>
      </c>
    </row>
    <row r="741" spans="1:2" x14ac:dyDescent="0.2">
      <c r="A741">
        <v>839</v>
      </c>
      <c r="B741">
        <v>1.4999999999999999E-4</v>
      </c>
    </row>
    <row r="742" spans="1:2" x14ac:dyDescent="0.2">
      <c r="A742">
        <v>840</v>
      </c>
      <c r="B742">
        <v>1.4999999999999999E-4</v>
      </c>
    </row>
    <row r="743" spans="1:2" x14ac:dyDescent="0.2">
      <c r="A743">
        <v>841</v>
      </c>
      <c r="B743">
        <v>1.6000000000000001E-4</v>
      </c>
    </row>
    <row r="744" spans="1:2" x14ac:dyDescent="0.2">
      <c r="A744">
        <v>842</v>
      </c>
      <c r="B744">
        <v>1.6000000000000001E-4</v>
      </c>
    </row>
    <row r="745" spans="1:2" x14ac:dyDescent="0.2">
      <c r="A745">
        <v>843</v>
      </c>
      <c r="B745">
        <v>1.6000000000000001E-4</v>
      </c>
    </row>
    <row r="746" spans="1:2" x14ac:dyDescent="0.2">
      <c r="A746">
        <v>844</v>
      </c>
      <c r="B746">
        <v>1.7000000000000001E-4</v>
      </c>
    </row>
    <row r="747" spans="1:2" x14ac:dyDescent="0.2">
      <c r="A747">
        <v>845</v>
      </c>
      <c r="B747">
        <v>1.7000000000000001E-4</v>
      </c>
    </row>
    <row r="748" spans="1:2" x14ac:dyDescent="0.2">
      <c r="A748">
        <v>846</v>
      </c>
      <c r="B748">
        <v>1.8000000000000001E-4</v>
      </c>
    </row>
    <row r="749" spans="1:2" x14ac:dyDescent="0.2">
      <c r="A749">
        <v>847</v>
      </c>
      <c r="B749">
        <v>1.8000000000000001E-4</v>
      </c>
    </row>
    <row r="750" spans="1:2" x14ac:dyDescent="0.2">
      <c r="A750">
        <v>848</v>
      </c>
      <c r="B750">
        <v>1.8000000000000001E-4</v>
      </c>
    </row>
    <row r="751" spans="1:2" x14ac:dyDescent="0.2">
      <c r="A751">
        <v>849</v>
      </c>
      <c r="B751">
        <v>1.9000000000000001E-4</v>
      </c>
    </row>
    <row r="752" spans="1:2" x14ac:dyDescent="0.2">
      <c r="A752">
        <v>850</v>
      </c>
      <c r="B752">
        <v>1.9000000000000001E-4</v>
      </c>
    </row>
    <row r="753" spans="1:2" x14ac:dyDescent="0.2">
      <c r="A753">
        <v>851</v>
      </c>
      <c r="B753">
        <v>1.9000000000000001E-4</v>
      </c>
    </row>
    <row r="754" spans="1:2" x14ac:dyDescent="0.2">
      <c r="A754">
        <v>852</v>
      </c>
      <c r="B754">
        <v>2.0000000000000001E-4</v>
      </c>
    </row>
    <row r="755" spans="1:2" x14ac:dyDescent="0.2">
      <c r="A755">
        <v>853</v>
      </c>
      <c r="B755">
        <v>2.0000000000000001E-4</v>
      </c>
    </row>
    <row r="756" spans="1:2" x14ac:dyDescent="0.2">
      <c r="A756">
        <v>854</v>
      </c>
      <c r="B756">
        <v>2.0000000000000001E-4</v>
      </c>
    </row>
    <row r="757" spans="1:2" x14ac:dyDescent="0.2">
      <c r="A757">
        <v>855</v>
      </c>
      <c r="B757">
        <v>2.1000000000000001E-4</v>
      </c>
    </row>
    <row r="758" spans="1:2" x14ac:dyDescent="0.2">
      <c r="A758">
        <v>856</v>
      </c>
      <c r="B758">
        <v>2.1000000000000001E-4</v>
      </c>
    </row>
    <row r="759" spans="1:2" x14ac:dyDescent="0.2">
      <c r="A759">
        <v>857</v>
      </c>
      <c r="B759">
        <v>2.1000000000000001E-4</v>
      </c>
    </row>
    <row r="760" spans="1:2" x14ac:dyDescent="0.2">
      <c r="A760">
        <v>858</v>
      </c>
      <c r="B760">
        <v>2.2000000000000001E-4</v>
      </c>
    </row>
    <row r="761" spans="1:2" x14ac:dyDescent="0.2">
      <c r="A761">
        <v>859</v>
      </c>
      <c r="B761">
        <v>2.2000000000000001E-4</v>
      </c>
    </row>
    <row r="762" spans="1:2" x14ac:dyDescent="0.2">
      <c r="A762">
        <v>860</v>
      </c>
      <c r="B762">
        <v>2.2000000000000001E-4</v>
      </c>
    </row>
    <row r="763" spans="1:2" x14ac:dyDescent="0.2">
      <c r="A763">
        <v>861</v>
      </c>
      <c r="B763">
        <v>2.3000000000000001E-4</v>
      </c>
    </row>
    <row r="764" spans="1:2" x14ac:dyDescent="0.2">
      <c r="A764">
        <v>862</v>
      </c>
      <c r="B764">
        <v>2.3000000000000001E-4</v>
      </c>
    </row>
    <row r="765" spans="1:2" x14ac:dyDescent="0.2">
      <c r="A765">
        <v>863</v>
      </c>
      <c r="B765">
        <v>2.3000000000000001E-4</v>
      </c>
    </row>
    <row r="766" spans="1:2" x14ac:dyDescent="0.2">
      <c r="A766">
        <v>864</v>
      </c>
      <c r="B766">
        <v>2.4000000000000001E-4</v>
      </c>
    </row>
    <row r="767" spans="1:2" x14ac:dyDescent="0.2">
      <c r="A767">
        <v>865</v>
      </c>
      <c r="B767">
        <v>2.4000000000000001E-4</v>
      </c>
    </row>
    <row r="768" spans="1:2" x14ac:dyDescent="0.2">
      <c r="A768">
        <v>866</v>
      </c>
      <c r="B768">
        <v>2.5000000000000001E-4</v>
      </c>
    </row>
    <row r="769" spans="1:2" x14ac:dyDescent="0.2">
      <c r="A769">
        <v>867</v>
      </c>
      <c r="B769">
        <v>2.5000000000000001E-4</v>
      </c>
    </row>
    <row r="770" spans="1:2" x14ac:dyDescent="0.2">
      <c r="A770">
        <v>868</v>
      </c>
      <c r="B770">
        <v>2.5000000000000001E-4</v>
      </c>
    </row>
    <row r="771" spans="1:2" x14ac:dyDescent="0.2">
      <c r="A771">
        <v>869</v>
      </c>
      <c r="B771">
        <v>2.5999999999999998E-4</v>
      </c>
    </row>
    <row r="772" spans="1:2" x14ac:dyDescent="0.2">
      <c r="A772">
        <v>870</v>
      </c>
      <c r="B772">
        <v>2.5999999999999998E-4</v>
      </c>
    </row>
    <row r="773" spans="1:2" x14ac:dyDescent="0.2">
      <c r="A773">
        <v>871</v>
      </c>
      <c r="B773">
        <v>2.7E-4</v>
      </c>
    </row>
    <row r="774" spans="1:2" x14ac:dyDescent="0.2">
      <c r="A774">
        <v>872</v>
      </c>
      <c r="B774">
        <v>2.7E-4</v>
      </c>
    </row>
    <row r="775" spans="1:2" x14ac:dyDescent="0.2">
      <c r="A775">
        <v>873</v>
      </c>
      <c r="B775">
        <v>2.7E-4</v>
      </c>
    </row>
    <row r="776" spans="1:2" x14ac:dyDescent="0.2">
      <c r="A776">
        <v>874</v>
      </c>
      <c r="B776">
        <v>2.7999999999999998E-4</v>
      </c>
    </row>
    <row r="777" spans="1:2" x14ac:dyDescent="0.2">
      <c r="A777">
        <v>875</v>
      </c>
      <c r="B777">
        <v>2.7999999999999998E-4</v>
      </c>
    </row>
    <row r="778" spans="1:2" x14ac:dyDescent="0.2">
      <c r="A778">
        <v>876</v>
      </c>
      <c r="B778">
        <v>2.9E-4</v>
      </c>
    </row>
    <row r="779" spans="1:2" x14ac:dyDescent="0.2">
      <c r="A779">
        <v>877</v>
      </c>
      <c r="B779">
        <v>2.9E-4</v>
      </c>
    </row>
    <row r="780" spans="1:2" x14ac:dyDescent="0.2">
      <c r="A780">
        <v>878</v>
      </c>
      <c r="B780">
        <v>2.9E-4</v>
      </c>
    </row>
    <row r="781" spans="1:2" x14ac:dyDescent="0.2">
      <c r="A781">
        <v>879</v>
      </c>
      <c r="B781">
        <v>2.9999999999999997E-4</v>
      </c>
    </row>
    <row r="782" spans="1:2" x14ac:dyDescent="0.2">
      <c r="A782">
        <v>880</v>
      </c>
      <c r="B782">
        <v>2.9999999999999997E-4</v>
      </c>
    </row>
    <row r="783" spans="1:2" x14ac:dyDescent="0.2">
      <c r="A783">
        <v>881</v>
      </c>
      <c r="B783">
        <v>3.1E-4</v>
      </c>
    </row>
    <row r="784" spans="1:2" x14ac:dyDescent="0.2">
      <c r="A784">
        <v>882</v>
      </c>
      <c r="B784">
        <v>3.1E-4</v>
      </c>
    </row>
    <row r="785" spans="1:2" x14ac:dyDescent="0.2">
      <c r="A785">
        <v>883</v>
      </c>
      <c r="B785">
        <v>3.2000000000000003E-4</v>
      </c>
    </row>
    <row r="786" spans="1:2" x14ac:dyDescent="0.2">
      <c r="A786">
        <v>884</v>
      </c>
      <c r="B786">
        <v>3.2000000000000003E-4</v>
      </c>
    </row>
    <row r="787" spans="1:2" x14ac:dyDescent="0.2">
      <c r="A787">
        <v>885</v>
      </c>
      <c r="B787">
        <v>3.3E-4</v>
      </c>
    </row>
    <row r="788" spans="1:2" x14ac:dyDescent="0.2">
      <c r="A788">
        <v>886</v>
      </c>
      <c r="B788">
        <v>3.3E-4</v>
      </c>
    </row>
    <row r="789" spans="1:2" x14ac:dyDescent="0.2">
      <c r="A789">
        <v>887</v>
      </c>
      <c r="B789">
        <v>3.4000000000000002E-4</v>
      </c>
    </row>
    <row r="790" spans="1:2" x14ac:dyDescent="0.2">
      <c r="A790">
        <v>888</v>
      </c>
      <c r="B790">
        <v>3.4000000000000002E-4</v>
      </c>
    </row>
    <row r="791" spans="1:2" x14ac:dyDescent="0.2">
      <c r="A791">
        <v>889</v>
      </c>
      <c r="B791">
        <v>3.5E-4</v>
      </c>
    </row>
    <row r="792" spans="1:2" x14ac:dyDescent="0.2">
      <c r="A792">
        <v>890</v>
      </c>
      <c r="B792">
        <v>3.5E-4</v>
      </c>
    </row>
    <row r="793" spans="1:2" x14ac:dyDescent="0.2">
      <c r="A793">
        <v>891</v>
      </c>
      <c r="B793">
        <v>3.6000000000000002E-4</v>
      </c>
    </row>
    <row r="794" spans="1:2" x14ac:dyDescent="0.2">
      <c r="A794">
        <v>892</v>
      </c>
      <c r="B794">
        <v>3.6000000000000002E-4</v>
      </c>
    </row>
    <row r="795" spans="1:2" x14ac:dyDescent="0.2">
      <c r="A795">
        <v>893</v>
      </c>
      <c r="B795">
        <v>3.6999999999999999E-4</v>
      </c>
    </row>
    <row r="796" spans="1:2" x14ac:dyDescent="0.2">
      <c r="A796">
        <v>894</v>
      </c>
      <c r="B796">
        <v>3.6999999999999999E-4</v>
      </c>
    </row>
    <row r="797" spans="1:2" x14ac:dyDescent="0.2">
      <c r="A797">
        <v>895</v>
      </c>
      <c r="B797">
        <v>3.8000000000000002E-4</v>
      </c>
    </row>
    <row r="798" spans="1:2" x14ac:dyDescent="0.2">
      <c r="A798">
        <v>896</v>
      </c>
      <c r="B798">
        <v>3.8000000000000002E-4</v>
      </c>
    </row>
    <row r="799" spans="1:2" x14ac:dyDescent="0.2">
      <c r="A799">
        <v>897</v>
      </c>
      <c r="B799">
        <v>3.8999999999999999E-4</v>
      </c>
    </row>
    <row r="800" spans="1:2" x14ac:dyDescent="0.2">
      <c r="A800">
        <v>898</v>
      </c>
      <c r="B800">
        <v>3.8999999999999999E-4</v>
      </c>
    </row>
    <row r="801" spans="1:2" x14ac:dyDescent="0.2">
      <c r="A801">
        <v>899</v>
      </c>
      <c r="B801">
        <v>4.0000000000000002E-4</v>
      </c>
    </row>
    <row r="802" spans="1:2" x14ac:dyDescent="0.2">
      <c r="A802">
        <v>900</v>
      </c>
      <c r="B802">
        <v>4.0999999999999999E-4</v>
      </c>
    </row>
    <row r="803" spans="1:2" x14ac:dyDescent="0.2">
      <c r="A803">
        <v>901</v>
      </c>
      <c r="B803">
        <v>4.0000000000000002E-4</v>
      </c>
    </row>
    <row r="804" spans="1:2" x14ac:dyDescent="0.2">
      <c r="A804">
        <v>902</v>
      </c>
      <c r="B804">
        <v>4.0000000000000002E-4</v>
      </c>
    </row>
    <row r="805" spans="1:2" x14ac:dyDescent="0.2">
      <c r="A805">
        <v>903</v>
      </c>
      <c r="B805">
        <v>4.0000000000000002E-4</v>
      </c>
    </row>
    <row r="806" spans="1:2" x14ac:dyDescent="0.2">
      <c r="A806">
        <v>904</v>
      </c>
      <c r="B806">
        <v>4.0000000000000002E-4</v>
      </c>
    </row>
    <row r="807" spans="1:2" x14ac:dyDescent="0.2">
      <c r="A807">
        <v>905</v>
      </c>
      <c r="B807">
        <v>4.0000000000000002E-4</v>
      </c>
    </row>
    <row r="808" spans="1:2" x14ac:dyDescent="0.2">
      <c r="A808">
        <v>906</v>
      </c>
      <c r="B808">
        <v>4.0000000000000002E-4</v>
      </c>
    </row>
    <row r="809" spans="1:2" x14ac:dyDescent="0.2">
      <c r="A809">
        <v>907</v>
      </c>
      <c r="B809">
        <v>4.0000000000000002E-4</v>
      </c>
    </row>
    <row r="810" spans="1:2" x14ac:dyDescent="0.2">
      <c r="A810">
        <v>908</v>
      </c>
      <c r="B810">
        <v>4.0000000000000002E-4</v>
      </c>
    </row>
    <row r="811" spans="1:2" x14ac:dyDescent="0.2">
      <c r="A811">
        <v>909</v>
      </c>
      <c r="B811">
        <v>4.0000000000000002E-4</v>
      </c>
    </row>
    <row r="812" spans="1:2" x14ac:dyDescent="0.2">
      <c r="A812">
        <v>910</v>
      </c>
      <c r="B812">
        <v>4.0000000000000002E-4</v>
      </c>
    </row>
    <row r="813" spans="1:2" x14ac:dyDescent="0.2">
      <c r="A813">
        <v>911</v>
      </c>
      <c r="B813">
        <v>4.0000000000000002E-4</v>
      </c>
    </row>
    <row r="814" spans="1:2" x14ac:dyDescent="0.2">
      <c r="A814">
        <v>912</v>
      </c>
      <c r="B814">
        <v>4.0000000000000002E-4</v>
      </c>
    </row>
    <row r="815" spans="1:2" x14ac:dyDescent="0.2">
      <c r="A815">
        <v>913</v>
      </c>
      <c r="B815">
        <v>4.0000000000000002E-4</v>
      </c>
    </row>
    <row r="816" spans="1:2" x14ac:dyDescent="0.2">
      <c r="A816">
        <v>914</v>
      </c>
      <c r="B816">
        <v>4.0000000000000002E-4</v>
      </c>
    </row>
    <row r="817" spans="1:2" x14ac:dyDescent="0.2">
      <c r="A817">
        <v>915</v>
      </c>
      <c r="B817">
        <v>3.8999999999999999E-4</v>
      </c>
    </row>
    <row r="818" spans="1:2" x14ac:dyDescent="0.2">
      <c r="A818">
        <v>916</v>
      </c>
      <c r="B818">
        <v>3.8999999999999999E-4</v>
      </c>
    </row>
    <row r="819" spans="1:2" x14ac:dyDescent="0.2">
      <c r="A819">
        <v>917</v>
      </c>
      <c r="B819">
        <v>3.8999999999999999E-4</v>
      </c>
    </row>
    <row r="820" spans="1:2" x14ac:dyDescent="0.2">
      <c r="A820">
        <v>918</v>
      </c>
      <c r="B820">
        <v>3.8999999999999999E-4</v>
      </c>
    </row>
    <row r="821" spans="1:2" x14ac:dyDescent="0.2">
      <c r="A821">
        <v>919</v>
      </c>
      <c r="B821">
        <v>3.8999999999999999E-4</v>
      </c>
    </row>
    <row r="822" spans="1:2" x14ac:dyDescent="0.2">
      <c r="A822">
        <v>920</v>
      </c>
      <c r="B822">
        <v>3.8999999999999999E-4</v>
      </c>
    </row>
    <row r="823" spans="1:2" x14ac:dyDescent="0.2">
      <c r="A823">
        <v>921</v>
      </c>
      <c r="B823">
        <v>3.8999999999999999E-4</v>
      </c>
    </row>
    <row r="824" spans="1:2" x14ac:dyDescent="0.2">
      <c r="A824">
        <v>922</v>
      </c>
      <c r="B824">
        <v>3.8999999999999999E-4</v>
      </c>
    </row>
    <row r="825" spans="1:2" x14ac:dyDescent="0.2">
      <c r="A825">
        <v>923</v>
      </c>
      <c r="B825">
        <v>3.8999999999999999E-4</v>
      </c>
    </row>
    <row r="826" spans="1:2" x14ac:dyDescent="0.2">
      <c r="A826">
        <v>924</v>
      </c>
      <c r="B826">
        <v>3.8999999999999999E-4</v>
      </c>
    </row>
    <row r="827" spans="1:2" x14ac:dyDescent="0.2">
      <c r="A827">
        <v>925</v>
      </c>
      <c r="B827">
        <v>3.8999999999999999E-4</v>
      </c>
    </row>
    <row r="828" spans="1:2" x14ac:dyDescent="0.2">
      <c r="A828">
        <v>926</v>
      </c>
      <c r="B828">
        <v>3.8999999999999999E-4</v>
      </c>
    </row>
    <row r="829" spans="1:2" x14ac:dyDescent="0.2">
      <c r="A829">
        <v>927</v>
      </c>
      <c r="B829">
        <v>3.8000000000000002E-4</v>
      </c>
    </row>
    <row r="830" spans="1:2" x14ac:dyDescent="0.2">
      <c r="A830">
        <v>928</v>
      </c>
      <c r="B830">
        <v>3.8000000000000002E-4</v>
      </c>
    </row>
    <row r="831" spans="1:2" x14ac:dyDescent="0.2">
      <c r="A831">
        <v>929</v>
      </c>
      <c r="B831">
        <v>3.8000000000000002E-4</v>
      </c>
    </row>
    <row r="832" spans="1:2" x14ac:dyDescent="0.2">
      <c r="A832">
        <v>930</v>
      </c>
      <c r="B832">
        <v>3.8000000000000002E-4</v>
      </c>
    </row>
    <row r="833" spans="1:2" x14ac:dyDescent="0.2">
      <c r="A833">
        <v>931</v>
      </c>
      <c r="B833">
        <v>3.8000000000000002E-4</v>
      </c>
    </row>
    <row r="834" spans="1:2" x14ac:dyDescent="0.2">
      <c r="A834">
        <v>932</v>
      </c>
      <c r="B834">
        <v>3.8000000000000002E-4</v>
      </c>
    </row>
    <row r="835" spans="1:2" x14ac:dyDescent="0.2">
      <c r="A835">
        <v>933</v>
      </c>
      <c r="B835">
        <v>3.8000000000000002E-4</v>
      </c>
    </row>
    <row r="836" spans="1:2" x14ac:dyDescent="0.2">
      <c r="A836">
        <v>934</v>
      </c>
      <c r="B836">
        <v>3.8000000000000002E-4</v>
      </c>
    </row>
    <row r="837" spans="1:2" x14ac:dyDescent="0.2">
      <c r="A837">
        <v>935</v>
      </c>
      <c r="B837">
        <v>3.8000000000000002E-4</v>
      </c>
    </row>
    <row r="838" spans="1:2" x14ac:dyDescent="0.2">
      <c r="A838">
        <v>936</v>
      </c>
      <c r="B838">
        <v>3.8000000000000002E-4</v>
      </c>
    </row>
    <row r="839" spans="1:2" x14ac:dyDescent="0.2">
      <c r="A839">
        <v>937</v>
      </c>
      <c r="B839">
        <v>3.8000000000000002E-4</v>
      </c>
    </row>
    <row r="840" spans="1:2" x14ac:dyDescent="0.2">
      <c r="A840">
        <v>938</v>
      </c>
      <c r="B840">
        <v>3.6999999999999999E-4</v>
      </c>
    </row>
    <row r="841" spans="1:2" x14ac:dyDescent="0.2">
      <c r="A841">
        <v>939</v>
      </c>
      <c r="B841">
        <v>3.6999999999999999E-4</v>
      </c>
    </row>
    <row r="842" spans="1:2" x14ac:dyDescent="0.2">
      <c r="A842">
        <v>940</v>
      </c>
      <c r="B842">
        <v>3.6999999999999999E-4</v>
      </c>
    </row>
    <row r="843" spans="1:2" x14ac:dyDescent="0.2">
      <c r="A843">
        <v>941</v>
      </c>
      <c r="B843">
        <v>3.6999999999999999E-4</v>
      </c>
    </row>
    <row r="844" spans="1:2" x14ac:dyDescent="0.2">
      <c r="A844">
        <v>942</v>
      </c>
      <c r="B844">
        <v>3.6999999999999999E-4</v>
      </c>
    </row>
    <row r="845" spans="1:2" x14ac:dyDescent="0.2">
      <c r="A845">
        <v>943</v>
      </c>
      <c r="B845">
        <v>3.6999999999999999E-4</v>
      </c>
    </row>
    <row r="846" spans="1:2" x14ac:dyDescent="0.2">
      <c r="A846">
        <v>944</v>
      </c>
      <c r="B846">
        <v>3.6999999999999999E-4</v>
      </c>
    </row>
    <row r="847" spans="1:2" x14ac:dyDescent="0.2">
      <c r="A847">
        <v>945</v>
      </c>
      <c r="B847">
        <v>3.6999999999999999E-4</v>
      </c>
    </row>
    <row r="848" spans="1:2" x14ac:dyDescent="0.2">
      <c r="A848">
        <v>946</v>
      </c>
      <c r="B848">
        <v>3.6999999999999999E-4</v>
      </c>
    </row>
    <row r="849" spans="1:2" x14ac:dyDescent="0.2">
      <c r="A849">
        <v>947</v>
      </c>
      <c r="B849">
        <v>3.6999999999999999E-4</v>
      </c>
    </row>
    <row r="850" spans="1:2" x14ac:dyDescent="0.2">
      <c r="A850">
        <v>948</v>
      </c>
      <c r="B850">
        <v>3.6000000000000002E-4</v>
      </c>
    </row>
    <row r="851" spans="1:2" x14ac:dyDescent="0.2">
      <c r="A851">
        <v>949</v>
      </c>
      <c r="B851">
        <v>3.6000000000000002E-4</v>
      </c>
    </row>
    <row r="852" spans="1:2" x14ac:dyDescent="0.2">
      <c r="A852">
        <v>950</v>
      </c>
      <c r="B852">
        <v>3.6000000000000002E-4</v>
      </c>
    </row>
    <row r="853" spans="1:2" x14ac:dyDescent="0.2">
      <c r="A853">
        <v>951</v>
      </c>
      <c r="B853">
        <v>3.6000000000000002E-4</v>
      </c>
    </row>
    <row r="854" spans="1:2" x14ac:dyDescent="0.2">
      <c r="A854">
        <v>952</v>
      </c>
      <c r="B854">
        <v>3.6000000000000002E-4</v>
      </c>
    </row>
    <row r="855" spans="1:2" x14ac:dyDescent="0.2">
      <c r="A855">
        <v>953</v>
      </c>
      <c r="B855">
        <v>3.5E-4</v>
      </c>
    </row>
    <row r="856" spans="1:2" x14ac:dyDescent="0.2">
      <c r="A856">
        <v>954</v>
      </c>
      <c r="B856">
        <v>3.5E-4</v>
      </c>
    </row>
    <row r="857" spans="1:2" x14ac:dyDescent="0.2">
      <c r="A857">
        <v>955</v>
      </c>
      <c r="B857">
        <v>3.5E-4</v>
      </c>
    </row>
    <row r="858" spans="1:2" x14ac:dyDescent="0.2">
      <c r="A858">
        <v>956</v>
      </c>
      <c r="B858">
        <v>3.4000000000000002E-4</v>
      </c>
    </row>
    <row r="859" spans="1:2" x14ac:dyDescent="0.2">
      <c r="A859">
        <v>957</v>
      </c>
      <c r="B859">
        <v>3.4000000000000002E-4</v>
      </c>
    </row>
    <row r="860" spans="1:2" x14ac:dyDescent="0.2">
      <c r="A860">
        <v>958</v>
      </c>
      <c r="B860">
        <v>3.4000000000000002E-4</v>
      </c>
    </row>
    <row r="861" spans="1:2" x14ac:dyDescent="0.2">
      <c r="A861">
        <v>959</v>
      </c>
      <c r="B861">
        <v>3.3E-4</v>
      </c>
    </row>
    <row r="862" spans="1:2" x14ac:dyDescent="0.2">
      <c r="A862">
        <v>960</v>
      </c>
      <c r="B862">
        <v>3.3E-4</v>
      </c>
    </row>
    <row r="863" spans="1:2" x14ac:dyDescent="0.2">
      <c r="A863">
        <v>961</v>
      </c>
      <c r="B863">
        <v>3.3E-4</v>
      </c>
    </row>
    <row r="864" spans="1:2" x14ac:dyDescent="0.2">
      <c r="A864">
        <v>962</v>
      </c>
      <c r="B864">
        <v>3.3E-4</v>
      </c>
    </row>
    <row r="865" spans="1:2" x14ac:dyDescent="0.2">
      <c r="A865">
        <v>963</v>
      </c>
      <c r="B865">
        <v>3.2000000000000003E-4</v>
      </c>
    </row>
    <row r="866" spans="1:2" x14ac:dyDescent="0.2">
      <c r="A866">
        <v>964</v>
      </c>
      <c r="B866">
        <v>3.2000000000000003E-4</v>
      </c>
    </row>
    <row r="867" spans="1:2" x14ac:dyDescent="0.2">
      <c r="A867">
        <v>965</v>
      </c>
      <c r="B867">
        <v>3.2000000000000003E-4</v>
      </c>
    </row>
    <row r="868" spans="1:2" x14ac:dyDescent="0.2">
      <c r="A868">
        <v>966</v>
      </c>
      <c r="B868">
        <v>3.1E-4</v>
      </c>
    </row>
    <row r="869" spans="1:2" x14ac:dyDescent="0.2">
      <c r="A869">
        <v>967</v>
      </c>
      <c r="B869">
        <v>3.1E-4</v>
      </c>
    </row>
    <row r="870" spans="1:2" x14ac:dyDescent="0.2">
      <c r="A870">
        <v>968</v>
      </c>
      <c r="B870">
        <v>3.1E-4</v>
      </c>
    </row>
    <row r="871" spans="1:2" x14ac:dyDescent="0.2">
      <c r="A871">
        <v>969</v>
      </c>
      <c r="B871">
        <v>3.1E-4</v>
      </c>
    </row>
    <row r="872" spans="1:2" x14ac:dyDescent="0.2">
      <c r="A872">
        <v>970</v>
      </c>
      <c r="B872">
        <v>2.9999999999999997E-4</v>
      </c>
    </row>
    <row r="873" spans="1:2" x14ac:dyDescent="0.2">
      <c r="A873">
        <v>971</v>
      </c>
      <c r="B873">
        <v>2.9999999999999997E-4</v>
      </c>
    </row>
    <row r="874" spans="1:2" x14ac:dyDescent="0.2">
      <c r="A874">
        <v>972</v>
      </c>
      <c r="B874">
        <v>2.9999999999999997E-4</v>
      </c>
    </row>
    <row r="875" spans="1:2" x14ac:dyDescent="0.2">
      <c r="A875">
        <v>973</v>
      </c>
      <c r="B875">
        <v>2.9999999999999997E-4</v>
      </c>
    </row>
    <row r="876" spans="1:2" x14ac:dyDescent="0.2">
      <c r="A876">
        <v>974</v>
      </c>
      <c r="B876">
        <v>2.9E-4</v>
      </c>
    </row>
    <row r="877" spans="1:2" x14ac:dyDescent="0.2">
      <c r="A877">
        <v>975</v>
      </c>
      <c r="B877">
        <v>2.9E-4</v>
      </c>
    </row>
    <row r="878" spans="1:2" x14ac:dyDescent="0.2">
      <c r="A878">
        <v>976</v>
      </c>
      <c r="B878">
        <v>2.9E-4</v>
      </c>
    </row>
    <row r="879" spans="1:2" x14ac:dyDescent="0.2">
      <c r="A879">
        <v>977</v>
      </c>
      <c r="B879">
        <v>2.9E-4</v>
      </c>
    </row>
    <row r="880" spans="1:2" x14ac:dyDescent="0.2">
      <c r="A880">
        <v>978</v>
      </c>
      <c r="B880">
        <v>2.7999999999999998E-4</v>
      </c>
    </row>
    <row r="881" spans="1:2" x14ac:dyDescent="0.2">
      <c r="A881">
        <v>979</v>
      </c>
      <c r="B881">
        <v>2.7999999999999998E-4</v>
      </c>
    </row>
    <row r="882" spans="1:2" x14ac:dyDescent="0.2">
      <c r="A882">
        <v>980</v>
      </c>
      <c r="B882">
        <v>2.7999999999999998E-4</v>
      </c>
    </row>
    <row r="883" spans="1:2" x14ac:dyDescent="0.2">
      <c r="A883">
        <v>981</v>
      </c>
      <c r="B883">
        <v>2.7999999999999998E-4</v>
      </c>
    </row>
    <row r="884" spans="1:2" x14ac:dyDescent="0.2">
      <c r="A884">
        <v>982</v>
      </c>
      <c r="B884">
        <v>2.7E-4</v>
      </c>
    </row>
    <row r="885" spans="1:2" x14ac:dyDescent="0.2">
      <c r="A885">
        <v>983</v>
      </c>
      <c r="B885">
        <v>2.7E-4</v>
      </c>
    </row>
    <row r="886" spans="1:2" x14ac:dyDescent="0.2">
      <c r="A886">
        <v>984</v>
      </c>
      <c r="B886">
        <v>2.7E-4</v>
      </c>
    </row>
    <row r="887" spans="1:2" x14ac:dyDescent="0.2">
      <c r="A887">
        <v>985</v>
      </c>
      <c r="B887">
        <v>2.7E-4</v>
      </c>
    </row>
    <row r="888" spans="1:2" x14ac:dyDescent="0.2">
      <c r="A888">
        <v>986</v>
      </c>
      <c r="B888">
        <v>2.5999999999999998E-4</v>
      </c>
    </row>
    <row r="889" spans="1:2" x14ac:dyDescent="0.2">
      <c r="A889">
        <v>987</v>
      </c>
      <c r="B889">
        <v>2.5999999999999998E-4</v>
      </c>
    </row>
    <row r="890" spans="1:2" x14ac:dyDescent="0.2">
      <c r="A890">
        <v>988</v>
      </c>
      <c r="B890">
        <v>2.5999999999999998E-4</v>
      </c>
    </row>
    <row r="891" spans="1:2" x14ac:dyDescent="0.2">
      <c r="A891">
        <v>989</v>
      </c>
      <c r="B891">
        <v>2.5999999999999998E-4</v>
      </c>
    </row>
    <row r="892" spans="1:2" x14ac:dyDescent="0.2">
      <c r="A892">
        <v>990</v>
      </c>
      <c r="B892">
        <v>2.5000000000000001E-4</v>
      </c>
    </row>
    <row r="893" spans="1:2" x14ac:dyDescent="0.2">
      <c r="A893">
        <v>991</v>
      </c>
      <c r="B893">
        <v>2.5000000000000001E-4</v>
      </c>
    </row>
    <row r="894" spans="1:2" x14ac:dyDescent="0.2">
      <c r="A894">
        <v>992</v>
      </c>
      <c r="B894">
        <v>2.5000000000000001E-4</v>
      </c>
    </row>
    <row r="895" spans="1:2" x14ac:dyDescent="0.2">
      <c r="A895">
        <v>993</v>
      </c>
      <c r="B895">
        <v>2.5000000000000001E-4</v>
      </c>
    </row>
    <row r="896" spans="1:2" x14ac:dyDescent="0.2">
      <c r="A896">
        <v>994</v>
      </c>
      <c r="B896">
        <v>2.5000000000000001E-4</v>
      </c>
    </row>
    <row r="897" spans="1:2" x14ac:dyDescent="0.2">
      <c r="A897">
        <v>995</v>
      </c>
      <c r="B897">
        <v>2.4000000000000001E-4</v>
      </c>
    </row>
    <row r="898" spans="1:2" x14ac:dyDescent="0.2">
      <c r="A898">
        <v>996</v>
      </c>
      <c r="B898">
        <v>2.4000000000000001E-4</v>
      </c>
    </row>
    <row r="899" spans="1:2" x14ac:dyDescent="0.2">
      <c r="A899">
        <v>997</v>
      </c>
      <c r="B899">
        <v>2.4000000000000001E-4</v>
      </c>
    </row>
    <row r="900" spans="1:2" x14ac:dyDescent="0.2">
      <c r="A900">
        <v>998</v>
      </c>
      <c r="B900">
        <v>2.4000000000000001E-4</v>
      </c>
    </row>
    <row r="901" spans="1:2" x14ac:dyDescent="0.2">
      <c r="A901">
        <v>999</v>
      </c>
      <c r="B901">
        <v>2.3000000000000001E-4</v>
      </c>
    </row>
    <row r="902" spans="1:2" x14ac:dyDescent="0.2">
      <c r="A902">
        <v>1000</v>
      </c>
      <c r="B902">
        <v>2.3000000000000001E-4</v>
      </c>
    </row>
    <row r="903" spans="1:2" x14ac:dyDescent="0.2">
      <c r="A903">
        <v>1001</v>
      </c>
      <c r="B903">
        <v>2.3000000000000001E-4</v>
      </c>
    </row>
    <row r="904" spans="1:2" x14ac:dyDescent="0.2">
      <c r="A904">
        <v>1002</v>
      </c>
      <c r="B904">
        <v>2.3000000000000001E-4</v>
      </c>
    </row>
    <row r="905" spans="1:2" x14ac:dyDescent="0.2">
      <c r="A905">
        <v>1003</v>
      </c>
      <c r="B905">
        <v>2.3000000000000001E-4</v>
      </c>
    </row>
    <row r="906" spans="1:2" x14ac:dyDescent="0.2">
      <c r="A906">
        <v>1004</v>
      </c>
      <c r="B906">
        <v>2.2000000000000001E-4</v>
      </c>
    </row>
    <row r="907" spans="1:2" x14ac:dyDescent="0.2">
      <c r="A907">
        <v>1005</v>
      </c>
      <c r="B907">
        <v>2.2000000000000001E-4</v>
      </c>
    </row>
    <row r="908" spans="1:2" x14ac:dyDescent="0.2">
      <c r="A908">
        <v>1006</v>
      </c>
      <c r="B908">
        <v>2.2000000000000001E-4</v>
      </c>
    </row>
    <row r="909" spans="1:2" x14ac:dyDescent="0.2">
      <c r="A909">
        <v>1007</v>
      </c>
      <c r="B909">
        <v>2.2000000000000001E-4</v>
      </c>
    </row>
    <row r="910" spans="1:2" x14ac:dyDescent="0.2">
      <c r="A910">
        <v>1008</v>
      </c>
      <c r="B910">
        <v>2.2000000000000001E-4</v>
      </c>
    </row>
    <row r="911" spans="1:2" x14ac:dyDescent="0.2">
      <c r="A911">
        <v>1009</v>
      </c>
      <c r="B911">
        <v>2.1000000000000001E-4</v>
      </c>
    </row>
    <row r="912" spans="1:2" x14ac:dyDescent="0.2">
      <c r="A912">
        <v>1010</v>
      </c>
      <c r="B912">
        <v>2.1000000000000001E-4</v>
      </c>
    </row>
    <row r="913" spans="1:2" x14ac:dyDescent="0.2">
      <c r="A913">
        <v>1011</v>
      </c>
      <c r="B913">
        <v>2.1000000000000001E-4</v>
      </c>
    </row>
    <row r="914" spans="1:2" x14ac:dyDescent="0.2">
      <c r="A914">
        <v>1012</v>
      </c>
      <c r="B914">
        <v>2.1000000000000001E-4</v>
      </c>
    </row>
    <row r="915" spans="1:2" x14ac:dyDescent="0.2">
      <c r="A915">
        <v>1013</v>
      </c>
      <c r="B915">
        <v>2.1000000000000001E-4</v>
      </c>
    </row>
    <row r="916" spans="1:2" x14ac:dyDescent="0.2">
      <c r="A916">
        <v>1014</v>
      </c>
      <c r="B916">
        <v>2.1000000000000001E-4</v>
      </c>
    </row>
    <row r="917" spans="1:2" x14ac:dyDescent="0.2">
      <c r="A917">
        <v>1015</v>
      </c>
      <c r="B917">
        <v>2.0000000000000001E-4</v>
      </c>
    </row>
    <row r="918" spans="1:2" x14ac:dyDescent="0.2">
      <c r="A918">
        <v>1016</v>
      </c>
      <c r="B918">
        <v>2.0000000000000001E-4</v>
      </c>
    </row>
    <row r="919" spans="1:2" x14ac:dyDescent="0.2">
      <c r="A919">
        <v>1017</v>
      </c>
      <c r="B919">
        <v>2.0000000000000001E-4</v>
      </c>
    </row>
    <row r="920" spans="1:2" x14ac:dyDescent="0.2">
      <c r="A920">
        <v>1018</v>
      </c>
      <c r="B920">
        <v>2.0000000000000001E-4</v>
      </c>
    </row>
    <row r="921" spans="1:2" x14ac:dyDescent="0.2">
      <c r="A921">
        <v>1019</v>
      </c>
      <c r="B921">
        <v>2.0000000000000001E-4</v>
      </c>
    </row>
    <row r="922" spans="1:2" x14ac:dyDescent="0.2">
      <c r="A922">
        <v>1020</v>
      </c>
      <c r="B922">
        <v>2.0000000000000001E-4</v>
      </c>
    </row>
    <row r="923" spans="1:2" x14ac:dyDescent="0.2">
      <c r="A923">
        <v>1021</v>
      </c>
      <c r="B923">
        <v>1.9000000000000001E-4</v>
      </c>
    </row>
    <row r="924" spans="1:2" x14ac:dyDescent="0.2">
      <c r="A924">
        <v>1022</v>
      </c>
      <c r="B924">
        <v>1.9000000000000001E-4</v>
      </c>
    </row>
    <row r="925" spans="1:2" x14ac:dyDescent="0.2">
      <c r="A925">
        <v>1023</v>
      </c>
      <c r="B925">
        <v>1.9000000000000001E-4</v>
      </c>
    </row>
    <row r="926" spans="1:2" x14ac:dyDescent="0.2">
      <c r="A926">
        <v>1024</v>
      </c>
      <c r="B926">
        <v>1.9000000000000001E-4</v>
      </c>
    </row>
    <row r="927" spans="1:2" x14ac:dyDescent="0.2">
      <c r="A927">
        <v>1025</v>
      </c>
      <c r="B927">
        <v>1.9000000000000001E-4</v>
      </c>
    </row>
    <row r="928" spans="1:2" x14ac:dyDescent="0.2">
      <c r="A928">
        <v>1026</v>
      </c>
      <c r="B928">
        <v>1.9000000000000001E-4</v>
      </c>
    </row>
    <row r="929" spans="1:2" x14ac:dyDescent="0.2">
      <c r="A929">
        <v>1027</v>
      </c>
      <c r="B929">
        <v>1.8000000000000001E-4</v>
      </c>
    </row>
    <row r="930" spans="1:2" x14ac:dyDescent="0.2">
      <c r="A930">
        <v>1028</v>
      </c>
      <c r="B930">
        <v>1.8000000000000001E-4</v>
      </c>
    </row>
    <row r="931" spans="1:2" x14ac:dyDescent="0.2">
      <c r="A931">
        <v>1029</v>
      </c>
      <c r="B931">
        <v>1.8000000000000001E-4</v>
      </c>
    </row>
    <row r="932" spans="1:2" x14ac:dyDescent="0.2">
      <c r="A932">
        <v>1030</v>
      </c>
      <c r="B932">
        <v>1.8000000000000001E-4</v>
      </c>
    </row>
    <row r="933" spans="1:2" x14ac:dyDescent="0.2">
      <c r="A933">
        <v>1031</v>
      </c>
      <c r="B933">
        <v>1.8000000000000001E-4</v>
      </c>
    </row>
    <row r="934" spans="1:2" x14ac:dyDescent="0.2">
      <c r="A934">
        <v>1032</v>
      </c>
      <c r="B934">
        <v>1.8000000000000001E-4</v>
      </c>
    </row>
    <row r="935" spans="1:2" x14ac:dyDescent="0.2">
      <c r="A935">
        <v>1033</v>
      </c>
      <c r="B935">
        <v>1.7000000000000001E-4</v>
      </c>
    </row>
    <row r="936" spans="1:2" x14ac:dyDescent="0.2">
      <c r="A936">
        <v>1034</v>
      </c>
      <c r="B936">
        <v>1.7000000000000001E-4</v>
      </c>
    </row>
    <row r="937" spans="1:2" x14ac:dyDescent="0.2">
      <c r="A937">
        <v>1035</v>
      </c>
      <c r="B937">
        <v>1.7000000000000001E-4</v>
      </c>
    </row>
    <row r="938" spans="1:2" x14ac:dyDescent="0.2">
      <c r="A938">
        <v>1036</v>
      </c>
      <c r="B938">
        <v>1.7000000000000001E-4</v>
      </c>
    </row>
    <row r="939" spans="1:2" x14ac:dyDescent="0.2">
      <c r="A939">
        <v>1037</v>
      </c>
      <c r="B939">
        <v>1.7000000000000001E-4</v>
      </c>
    </row>
    <row r="940" spans="1:2" x14ac:dyDescent="0.2">
      <c r="A940">
        <v>1038</v>
      </c>
      <c r="B940">
        <v>1.7000000000000001E-4</v>
      </c>
    </row>
    <row r="941" spans="1:2" x14ac:dyDescent="0.2">
      <c r="A941">
        <v>1039</v>
      </c>
      <c r="B941">
        <v>1.7000000000000001E-4</v>
      </c>
    </row>
    <row r="942" spans="1:2" x14ac:dyDescent="0.2">
      <c r="A942">
        <v>1040</v>
      </c>
      <c r="B942">
        <v>1.6000000000000001E-4</v>
      </c>
    </row>
    <row r="943" spans="1:2" x14ac:dyDescent="0.2">
      <c r="A943">
        <v>1041</v>
      </c>
      <c r="B943">
        <v>1.6000000000000001E-4</v>
      </c>
    </row>
    <row r="944" spans="1:2" x14ac:dyDescent="0.2">
      <c r="A944">
        <v>1042</v>
      </c>
      <c r="B944">
        <v>1.6000000000000001E-4</v>
      </c>
    </row>
    <row r="945" spans="1:2" x14ac:dyDescent="0.2">
      <c r="A945">
        <v>1043</v>
      </c>
      <c r="B945">
        <v>1.6000000000000001E-4</v>
      </c>
    </row>
    <row r="946" spans="1:2" x14ac:dyDescent="0.2">
      <c r="A946">
        <v>1044</v>
      </c>
      <c r="B946">
        <v>1.6000000000000001E-4</v>
      </c>
    </row>
    <row r="947" spans="1:2" x14ac:dyDescent="0.2">
      <c r="A947">
        <v>1045</v>
      </c>
      <c r="B947">
        <v>1.6000000000000001E-4</v>
      </c>
    </row>
    <row r="948" spans="1:2" x14ac:dyDescent="0.2">
      <c r="A948">
        <v>1046</v>
      </c>
      <c r="B948">
        <v>1.6000000000000001E-4</v>
      </c>
    </row>
    <row r="949" spans="1:2" x14ac:dyDescent="0.2">
      <c r="A949">
        <v>1047</v>
      </c>
      <c r="B949">
        <v>1.4999999999999999E-4</v>
      </c>
    </row>
    <row r="950" spans="1:2" x14ac:dyDescent="0.2">
      <c r="A950">
        <v>1048</v>
      </c>
      <c r="B950">
        <v>1.4999999999999999E-4</v>
      </c>
    </row>
    <row r="951" spans="1:2" x14ac:dyDescent="0.2">
      <c r="A951">
        <v>1049</v>
      </c>
      <c r="B951">
        <v>1.4999999999999999E-4</v>
      </c>
    </row>
    <row r="952" spans="1:2" x14ac:dyDescent="0.2">
      <c r="A952">
        <v>1050</v>
      </c>
      <c r="B952">
        <v>1.4999999999999999E-4</v>
      </c>
    </row>
    <row r="953" spans="1:2" x14ac:dyDescent="0.2">
      <c r="A953">
        <v>1051</v>
      </c>
      <c r="B953">
        <v>1.4999999999999999E-4</v>
      </c>
    </row>
    <row r="954" spans="1:2" x14ac:dyDescent="0.2">
      <c r="A954">
        <v>1052</v>
      </c>
      <c r="B954">
        <v>1.4999999999999999E-4</v>
      </c>
    </row>
    <row r="955" spans="1:2" x14ac:dyDescent="0.2">
      <c r="A955">
        <v>1053</v>
      </c>
      <c r="B955">
        <v>1.4999999999999999E-4</v>
      </c>
    </row>
    <row r="956" spans="1:2" x14ac:dyDescent="0.2">
      <c r="A956">
        <v>1054</v>
      </c>
      <c r="B956">
        <v>1.4999999999999999E-4</v>
      </c>
    </row>
    <row r="957" spans="1:2" x14ac:dyDescent="0.2">
      <c r="A957">
        <v>1055</v>
      </c>
      <c r="B957">
        <v>1.3999999999999999E-4</v>
      </c>
    </row>
    <row r="958" spans="1:2" x14ac:dyDescent="0.2">
      <c r="A958">
        <v>1056</v>
      </c>
      <c r="B958">
        <v>1.3999999999999999E-4</v>
      </c>
    </row>
    <row r="959" spans="1:2" x14ac:dyDescent="0.2">
      <c r="A959">
        <v>1057</v>
      </c>
      <c r="B959">
        <v>1.3999999999999999E-4</v>
      </c>
    </row>
    <row r="960" spans="1:2" x14ac:dyDescent="0.2">
      <c r="A960">
        <v>1058</v>
      </c>
      <c r="B960">
        <v>1.3999999999999999E-4</v>
      </c>
    </row>
    <row r="961" spans="1:2" x14ac:dyDescent="0.2">
      <c r="A961">
        <v>1059</v>
      </c>
      <c r="B961">
        <v>1.3999999999999999E-4</v>
      </c>
    </row>
    <row r="962" spans="1:2" x14ac:dyDescent="0.2">
      <c r="A962">
        <v>1060</v>
      </c>
      <c r="B962">
        <v>1.3999999999999999E-4</v>
      </c>
    </row>
    <row r="963" spans="1:2" x14ac:dyDescent="0.2">
      <c r="A963">
        <v>1061</v>
      </c>
      <c r="B963">
        <v>1.3999999999999999E-4</v>
      </c>
    </row>
    <row r="964" spans="1:2" x14ac:dyDescent="0.2">
      <c r="A964">
        <v>1062</v>
      </c>
      <c r="B964">
        <v>1.3999999999999999E-4</v>
      </c>
    </row>
    <row r="965" spans="1:2" x14ac:dyDescent="0.2">
      <c r="A965">
        <v>1063</v>
      </c>
      <c r="B965">
        <v>1.2999999999999999E-4</v>
      </c>
    </row>
    <row r="966" spans="1:2" x14ac:dyDescent="0.2">
      <c r="A966">
        <v>1064</v>
      </c>
      <c r="B966">
        <v>1.2999999999999999E-4</v>
      </c>
    </row>
    <row r="967" spans="1:2" x14ac:dyDescent="0.2">
      <c r="A967">
        <v>1065</v>
      </c>
      <c r="B967">
        <v>1.2999999999999999E-4</v>
      </c>
    </row>
    <row r="968" spans="1:2" x14ac:dyDescent="0.2">
      <c r="A968">
        <v>1066</v>
      </c>
      <c r="B968">
        <v>1.2999999999999999E-4</v>
      </c>
    </row>
    <row r="969" spans="1:2" x14ac:dyDescent="0.2">
      <c r="A969">
        <v>1067</v>
      </c>
      <c r="B969">
        <v>1.2999999999999999E-4</v>
      </c>
    </row>
    <row r="970" spans="1:2" x14ac:dyDescent="0.2">
      <c r="A970">
        <v>1068</v>
      </c>
      <c r="B970">
        <v>1.2999999999999999E-4</v>
      </c>
    </row>
    <row r="971" spans="1:2" x14ac:dyDescent="0.2">
      <c r="A971">
        <v>1069</v>
      </c>
      <c r="B971">
        <v>1.2999999999999999E-4</v>
      </c>
    </row>
    <row r="972" spans="1:2" x14ac:dyDescent="0.2">
      <c r="A972">
        <v>1070</v>
      </c>
      <c r="B972">
        <v>1.2999999999999999E-4</v>
      </c>
    </row>
    <row r="973" spans="1:2" x14ac:dyDescent="0.2">
      <c r="A973">
        <v>1071</v>
      </c>
      <c r="B973">
        <v>1.2999999999999999E-4</v>
      </c>
    </row>
    <row r="974" spans="1:2" x14ac:dyDescent="0.2">
      <c r="A974">
        <v>1072</v>
      </c>
      <c r="B974">
        <v>1.2E-4</v>
      </c>
    </row>
    <row r="975" spans="1:2" x14ac:dyDescent="0.2">
      <c r="A975">
        <v>1073</v>
      </c>
      <c r="B975">
        <v>1.2E-4</v>
      </c>
    </row>
    <row r="976" spans="1:2" x14ac:dyDescent="0.2">
      <c r="A976">
        <v>1074</v>
      </c>
      <c r="B976">
        <v>1.2E-4</v>
      </c>
    </row>
    <row r="977" spans="1:2" x14ac:dyDescent="0.2">
      <c r="A977">
        <v>1075</v>
      </c>
      <c r="B977">
        <v>1.2E-4</v>
      </c>
    </row>
    <row r="978" spans="1:2" x14ac:dyDescent="0.2">
      <c r="A978">
        <v>1076</v>
      </c>
      <c r="B978">
        <v>1.2E-4</v>
      </c>
    </row>
    <row r="979" spans="1:2" x14ac:dyDescent="0.2">
      <c r="A979">
        <v>1077</v>
      </c>
      <c r="B979">
        <v>1.2E-4</v>
      </c>
    </row>
    <row r="980" spans="1:2" x14ac:dyDescent="0.2">
      <c r="A980">
        <v>1078</v>
      </c>
      <c r="B980">
        <v>1.2E-4</v>
      </c>
    </row>
    <row r="981" spans="1:2" x14ac:dyDescent="0.2">
      <c r="A981">
        <v>1079</v>
      </c>
      <c r="B981">
        <v>1.2E-4</v>
      </c>
    </row>
    <row r="982" spans="1:2" x14ac:dyDescent="0.2">
      <c r="A982">
        <v>1080</v>
      </c>
      <c r="B982">
        <v>1.2E-4</v>
      </c>
    </row>
    <row r="983" spans="1:2" x14ac:dyDescent="0.2">
      <c r="A983">
        <v>1081</v>
      </c>
      <c r="B983">
        <v>1.2E-4</v>
      </c>
    </row>
    <row r="984" spans="1:2" x14ac:dyDescent="0.2">
      <c r="A984">
        <v>1082</v>
      </c>
      <c r="B984">
        <v>1.2E-4</v>
      </c>
    </row>
    <row r="985" spans="1:2" x14ac:dyDescent="0.2">
      <c r="A985">
        <v>1083</v>
      </c>
      <c r="B985">
        <v>1.2E-4</v>
      </c>
    </row>
    <row r="986" spans="1:2" x14ac:dyDescent="0.2">
      <c r="A986">
        <v>1084</v>
      </c>
      <c r="B986">
        <v>1.1E-4</v>
      </c>
    </row>
    <row r="987" spans="1:2" x14ac:dyDescent="0.2">
      <c r="A987">
        <v>1085</v>
      </c>
      <c r="B987">
        <v>1.1E-4</v>
      </c>
    </row>
    <row r="988" spans="1:2" x14ac:dyDescent="0.2">
      <c r="A988">
        <v>1086</v>
      </c>
      <c r="B988">
        <v>1.1E-4</v>
      </c>
    </row>
    <row r="989" spans="1:2" x14ac:dyDescent="0.2">
      <c r="A989">
        <v>1087</v>
      </c>
      <c r="B989">
        <v>1.1E-4</v>
      </c>
    </row>
    <row r="990" spans="1:2" x14ac:dyDescent="0.2">
      <c r="A990">
        <v>1088</v>
      </c>
      <c r="B990">
        <v>1.1E-4</v>
      </c>
    </row>
    <row r="991" spans="1:2" x14ac:dyDescent="0.2">
      <c r="A991">
        <v>1089</v>
      </c>
      <c r="B991">
        <v>1.1E-4</v>
      </c>
    </row>
    <row r="992" spans="1:2" x14ac:dyDescent="0.2">
      <c r="A992">
        <v>1090</v>
      </c>
      <c r="B992">
        <v>1.1E-4</v>
      </c>
    </row>
    <row r="993" spans="1:2" x14ac:dyDescent="0.2">
      <c r="A993">
        <v>1091</v>
      </c>
      <c r="B993">
        <v>1.1E-4</v>
      </c>
    </row>
    <row r="994" spans="1:2" x14ac:dyDescent="0.2">
      <c r="A994">
        <v>1092</v>
      </c>
      <c r="B994">
        <v>1.1E-4</v>
      </c>
    </row>
    <row r="995" spans="1:2" x14ac:dyDescent="0.2">
      <c r="A995">
        <v>1093</v>
      </c>
      <c r="B995">
        <v>1.1E-4</v>
      </c>
    </row>
    <row r="996" spans="1:2" x14ac:dyDescent="0.2">
      <c r="A996">
        <v>1094</v>
      </c>
      <c r="B996">
        <v>1.1E-4</v>
      </c>
    </row>
    <row r="997" spans="1:2" x14ac:dyDescent="0.2">
      <c r="A997">
        <v>1095</v>
      </c>
      <c r="B997">
        <v>1.1E-4</v>
      </c>
    </row>
    <row r="998" spans="1:2" x14ac:dyDescent="0.2">
      <c r="A998">
        <v>1096</v>
      </c>
      <c r="B998">
        <v>1.1E-4</v>
      </c>
    </row>
    <row r="999" spans="1:2" x14ac:dyDescent="0.2">
      <c r="A999">
        <v>1097</v>
      </c>
      <c r="B999">
        <v>1.1E-4</v>
      </c>
    </row>
    <row r="1000" spans="1:2" x14ac:dyDescent="0.2">
      <c r="A1000">
        <v>1098</v>
      </c>
      <c r="B1000">
        <v>1.1E-4</v>
      </c>
    </row>
    <row r="1001" spans="1:2" x14ac:dyDescent="0.2">
      <c r="A1001">
        <v>1099</v>
      </c>
      <c r="B1001">
        <v>1E-4</v>
      </c>
    </row>
    <row r="1002" spans="1:2" x14ac:dyDescent="0.2">
      <c r="A1002">
        <v>1100</v>
      </c>
      <c r="B1002">
        <v>1E-4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902"/>
  <sheetViews>
    <sheetView topLeftCell="A118" workbookViewId="0">
      <selection activeCell="A149" sqref="A149:XFD149"/>
    </sheetView>
  </sheetViews>
  <sheetFormatPr baseColWidth="10" defaultRowHeight="16" x14ac:dyDescent="0.2"/>
  <cols>
    <col min="1" max="1" width="18.5" style="4" customWidth="1"/>
    <col min="2" max="2" width="16.83203125" customWidth="1"/>
    <col min="3" max="3" width="19.83203125" style="4" customWidth="1"/>
    <col min="4" max="4" width="10.83203125" style="4"/>
  </cols>
  <sheetData>
    <row r="1" spans="1:4" x14ac:dyDescent="0.2">
      <c r="A1" s="77" t="s">
        <v>688</v>
      </c>
      <c r="B1" t="s">
        <v>689</v>
      </c>
      <c r="C1" s="4" t="s">
        <v>690</v>
      </c>
      <c r="D1" s="4" t="s">
        <v>691</v>
      </c>
    </row>
    <row r="2" spans="1:4" x14ac:dyDescent="0.2">
      <c r="A2" s="83">
        <v>100</v>
      </c>
      <c r="B2" t="s">
        <v>259</v>
      </c>
      <c r="C2" s="4">
        <v>0</v>
      </c>
      <c r="D2" s="4">
        <v>11.1394</v>
      </c>
    </row>
    <row r="3" spans="1:4" x14ac:dyDescent="0.2">
      <c r="A3" s="83">
        <v>101</v>
      </c>
      <c r="B3" t="s">
        <v>260</v>
      </c>
      <c r="C3" s="4">
        <v>0</v>
      </c>
      <c r="D3" s="4">
        <v>11.3805</v>
      </c>
    </row>
    <row r="4" spans="1:4" x14ac:dyDescent="0.2">
      <c r="A4" s="83">
        <v>102</v>
      </c>
      <c r="B4" t="s">
        <v>261</v>
      </c>
      <c r="C4" s="4">
        <v>0</v>
      </c>
      <c r="D4" s="4">
        <v>11.6081</v>
      </c>
    </row>
    <row r="5" spans="1:4" x14ac:dyDescent="0.2">
      <c r="A5" s="83">
        <v>103</v>
      </c>
      <c r="B5" t="s">
        <v>262</v>
      </c>
      <c r="C5" s="4">
        <v>0</v>
      </c>
      <c r="D5" s="4">
        <v>11.8209</v>
      </c>
    </row>
    <row r="6" spans="1:4" x14ac:dyDescent="0.2">
      <c r="A6" s="83">
        <v>104</v>
      </c>
      <c r="B6" t="s">
        <v>263</v>
      </c>
      <c r="C6" s="4">
        <v>0</v>
      </c>
      <c r="D6" s="4">
        <v>12.0176</v>
      </c>
    </row>
    <row r="7" spans="1:4" x14ac:dyDescent="0.2">
      <c r="A7" s="83">
        <v>105</v>
      </c>
      <c r="B7" t="s">
        <v>264</v>
      </c>
      <c r="C7" s="4">
        <v>0</v>
      </c>
      <c r="D7" s="4">
        <v>12.1974</v>
      </c>
    </row>
    <row r="8" spans="1:4" x14ac:dyDescent="0.2">
      <c r="A8" s="83">
        <v>106</v>
      </c>
      <c r="B8" t="s">
        <v>265</v>
      </c>
      <c r="C8" s="4">
        <v>0</v>
      </c>
      <c r="D8" s="4">
        <v>12.3596</v>
      </c>
    </row>
    <row r="9" spans="1:4" x14ac:dyDescent="0.2">
      <c r="A9" s="83">
        <v>107</v>
      </c>
      <c r="B9" t="s">
        <v>266</v>
      </c>
      <c r="C9" s="4">
        <v>0</v>
      </c>
      <c r="D9" s="4">
        <v>12.5038</v>
      </c>
    </row>
    <row r="10" spans="1:4" x14ac:dyDescent="0.2">
      <c r="A10" s="83">
        <v>108</v>
      </c>
      <c r="B10" t="s">
        <v>267</v>
      </c>
      <c r="C10" s="4">
        <v>0</v>
      </c>
      <c r="D10" s="4">
        <v>12.629899999999999</v>
      </c>
    </row>
    <row r="11" spans="1:4" x14ac:dyDescent="0.2">
      <c r="A11" s="83">
        <v>109</v>
      </c>
      <c r="B11" t="s">
        <v>268</v>
      </c>
      <c r="C11" s="4">
        <v>0</v>
      </c>
      <c r="D11" s="4">
        <v>12.7378</v>
      </c>
    </row>
    <row r="12" spans="1:4" x14ac:dyDescent="0.2">
      <c r="A12" s="83">
        <v>110</v>
      </c>
      <c r="B12" t="s">
        <v>269</v>
      </c>
      <c r="C12" s="4">
        <v>0</v>
      </c>
      <c r="D12" s="4">
        <v>12.8279</v>
      </c>
    </row>
    <row r="13" spans="1:4" x14ac:dyDescent="0.2">
      <c r="A13" s="83">
        <v>111</v>
      </c>
      <c r="B13" t="s">
        <v>270</v>
      </c>
      <c r="C13" s="4">
        <v>0</v>
      </c>
      <c r="D13" s="4">
        <v>12.900600000000001</v>
      </c>
    </row>
    <row r="14" spans="1:4" x14ac:dyDescent="0.2">
      <c r="A14" s="83">
        <v>112</v>
      </c>
      <c r="B14" t="s">
        <v>271</v>
      </c>
      <c r="C14" s="4">
        <v>0</v>
      </c>
      <c r="D14" s="4">
        <v>12.9567</v>
      </c>
    </row>
    <row r="15" spans="1:4" x14ac:dyDescent="0.2">
      <c r="A15" s="83">
        <v>113</v>
      </c>
      <c r="B15" t="s">
        <v>272</v>
      </c>
      <c r="C15" s="4">
        <v>0</v>
      </c>
      <c r="D15" s="4">
        <v>12.9969</v>
      </c>
    </row>
    <row r="16" spans="1:4" x14ac:dyDescent="0.2">
      <c r="A16" s="83">
        <v>114</v>
      </c>
      <c r="B16" t="s">
        <v>273</v>
      </c>
      <c r="C16" s="4">
        <v>0</v>
      </c>
      <c r="D16" s="4">
        <v>13.0221</v>
      </c>
    </row>
    <row r="17" spans="1:4" x14ac:dyDescent="0.2">
      <c r="A17" s="83">
        <v>115</v>
      </c>
      <c r="B17" t="s">
        <v>274</v>
      </c>
      <c r="C17" s="4">
        <v>0</v>
      </c>
      <c r="D17" s="4">
        <v>13.033300000000001</v>
      </c>
    </row>
    <row r="18" spans="1:4" x14ac:dyDescent="0.2">
      <c r="A18" s="83">
        <v>116</v>
      </c>
      <c r="B18" t="s">
        <v>275</v>
      </c>
      <c r="C18" s="4">
        <v>0</v>
      </c>
      <c r="D18" s="4">
        <v>13.031700000000001</v>
      </c>
    </row>
    <row r="19" spans="1:4" x14ac:dyDescent="0.2">
      <c r="A19" s="83">
        <v>117</v>
      </c>
      <c r="B19" t="s">
        <v>276</v>
      </c>
      <c r="C19" s="4">
        <v>0</v>
      </c>
      <c r="D19" s="4">
        <v>13.0183</v>
      </c>
    </row>
    <row r="20" spans="1:4" x14ac:dyDescent="0.2">
      <c r="A20" s="83">
        <v>118</v>
      </c>
      <c r="B20" t="s">
        <v>277</v>
      </c>
      <c r="C20" s="4">
        <v>0</v>
      </c>
      <c r="D20" s="4">
        <v>12.994199999999999</v>
      </c>
    </row>
    <row r="21" spans="1:4" x14ac:dyDescent="0.2">
      <c r="A21" s="83">
        <v>119</v>
      </c>
      <c r="B21" t="s">
        <v>278</v>
      </c>
      <c r="C21" s="4">
        <v>0</v>
      </c>
      <c r="D21" s="4">
        <v>12.9605</v>
      </c>
    </row>
    <row r="22" spans="1:4" x14ac:dyDescent="0.2">
      <c r="A22" s="83">
        <v>120</v>
      </c>
      <c r="B22" t="s">
        <v>279</v>
      </c>
      <c r="C22" s="4">
        <v>0</v>
      </c>
      <c r="D22" s="4">
        <v>12.9185</v>
      </c>
    </row>
    <row r="23" spans="1:4" x14ac:dyDescent="0.2">
      <c r="A23" s="83">
        <v>121</v>
      </c>
      <c r="B23" t="s">
        <v>280</v>
      </c>
      <c r="C23" s="4">
        <v>0</v>
      </c>
      <c r="D23" s="4">
        <v>12.869</v>
      </c>
    </row>
    <row r="24" spans="1:4" x14ac:dyDescent="0.2">
      <c r="A24" s="83">
        <v>122</v>
      </c>
      <c r="B24" t="s">
        <v>281</v>
      </c>
      <c r="C24" s="4">
        <v>0</v>
      </c>
      <c r="D24" s="4">
        <v>12.8131</v>
      </c>
    </row>
    <row r="25" spans="1:4" x14ac:dyDescent="0.2">
      <c r="A25" s="83">
        <v>123</v>
      </c>
      <c r="B25" t="s">
        <v>282</v>
      </c>
      <c r="C25" s="4">
        <v>0</v>
      </c>
      <c r="D25" s="4">
        <v>12.751799999999999</v>
      </c>
    </row>
    <row r="26" spans="1:4" x14ac:dyDescent="0.2">
      <c r="A26" s="83">
        <v>124</v>
      </c>
      <c r="B26" t="s">
        <v>283</v>
      </c>
      <c r="C26" s="4">
        <v>0</v>
      </c>
      <c r="D26" s="4">
        <v>12.6859</v>
      </c>
    </row>
    <row r="27" spans="1:4" x14ac:dyDescent="0.2">
      <c r="A27" s="83">
        <v>125</v>
      </c>
      <c r="B27" t="s">
        <v>284</v>
      </c>
      <c r="C27" s="4">
        <v>0</v>
      </c>
      <c r="D27" s="4">
        <v>12.616300000000001</v>
      </c>
    </row>
    <row r="28" spans="1:4" x14ac:dyDescent="0.2">
      <c r="A28" s="83">
        <v>126</v>
      </c>
      <c r="B28" t="s">
        <v>285</v>
      </c>
      <c r="C28" s="4">
        <v>0</v>
      </c>
      <c r="D28" s="4">
        <v>12.543799999999999</v>
      </c>
    </row>
    <row r="29" spans="1:4" x14ac:dyDescent="0.2">
      <c r="A29" s="83">
        <v>127</v>
      </c>
      <c r="B29" t="s">
        <v>286</v>
      </c>
      <c r="C29" s="4">
        <v>0</v>
      </c>
      <c r="D29" s="4">
        <v>12.469099999999999</v>
      </c>
    </row>
    <row r="30" spans="1:4" x14ac:dyDescent="0.2">
      <c r="A30" s="83">
        <v>128</v>
      </c>
      <c r="B30" t="s">
        <v>287</v>
      </c>
      <c r="C30" s="4">
        <v>0</v>
      </c>
      <c r="D30" s="4">
        <v>12.3927</v>
      </c>
    </row>
    <row r="31" spans="1:4" x14ac:dyDescent="0.2">
      <c r="A31" s="83">
        <v>129</v>
      </c>
      <c r="B31" t="s">
        <v>288</v>
      </c>
      <c r="C31" s="4">
        <v>0</v>
      </c>
      <c r="D31" s="4">
        <v>12.315300000000001</v>
      </c>
    </row>
    <row r="32" spans="1:4" x14ac:dyDescent="0.2">
      <c r="A32" s="83">
        <v>130</v>
      </c>
      <c r="B32" t="s">
        <v>289</v>
      </c>
      <c r="C32" s="4">
        <v>0</v>
      </c>
      <c r="D32" s="4">
        <v>12.237399999999999</v>
      </c>
    </row>
    <row r="33" spans="1:4" x14ac:dyDescent="0.2">
      <c r="A33" s="83">
        <v>131</v>
      </c>
      <c r="B33" t="s">
        <v>290</v>
      </c>
      <c r="C33" s="4">
        <v>0</v>
      </c>
      <c r="D33" s="4">
        <v>12.1594</v>
      </c>
    </row>
    <row r="34" spans="1:4" x14ac:dyDescent="0.2">
      <c r="A34" s="83">
        <v>132</v>
      </c>
      <c r="B34" t="s">
        <v>291</v>
      </c>
      <c r="C34" s="4">
        <v>0</v>
      </c>
      <c r="D34" s="4">
        <v>12.081799999999999</v>
      </c>
    </row>
    <row r="35" spans="1:4" x14ac:dyDescent="0.2">
      <c r="A35" s="83">
        <v>133</v>
      </c>
      <c r="B35" t="s">
        <v>292</v>
      </c>
      <c r="C35" s="4">
        <v>0</v>
      </c>
      <c r="D35" s="4">
        <v>12.004899999999999</v>
      </c>
    </row>
    <row r="36" spans="1:4" x14ac:dyDescent="0.2">
      <c r="A36" s="83">
        <v>134</v>
      </c>
      <c r="B36" t="s">
        <v>293</v>
      </c>
      <c r="C36" s="4">
        <v>0</v>
      </c>
      <c r="D36" s="4">
        <v>11.929</v>
      </c>
    </row>
    <row r="37" spans="1:4" x14ac:dyDescent="0.2">
      <c r="A37" s="83">
        <v>135</v>
      </c>
      <c r="B37" t="s">
        <v>294</v>
      </c>
      <c r="C37" s="4">
        <v>0</v>
      </c>
      <c r="D37" s="4">
        <v>11.8544</v>
      </c>
    </row>
    <row r="38" spans="1:4" x14ac:dyDescent="0.2">
      <c r="A38" s="83">
        <v>136</v>
      </c>
      <c r="B38" t="s">
        <v>295</v>
      </c>
      <c r="C38" s="4">
        <v>0</v>
      </c>
      <c r="D38" s="4">
        <v>11.7813</v>
      </c>
    </row>
    <row r="39" spans="1:4" x14ac:dyDescent="0.2">
      <c r="A39" s="83">
        <v>137</v>
      </c>
      <c r="B39" t="s">
        <v>296</v>
      </c>
      <c r="C39" s="4">
        <v>0</v>
      </c>
      <c r="D39" s="4">
        <v>11.709899999999999</v>
      </c>
    </row>
    <row r="40" spans="1:4" x14ac:dyDescent="0.2">
      <c r="A40" s="83">
        <v>138</v>
      </c>
      <c r="B40" t="s">
        <v>297</v>
      </c>
      <c r="C40" s="4">
        <v>0</v>
      </c>
      <c r="D40" s="4">
        <v>11.6404</v>
      </c>
    </row>
    <row r="41" spans="1:4" x14ac:dyDescent="0.2">
      <c r="A41" s="83">
        <v>139</v>
      </c>
      <c r="B41" t="s">
        <v>298</v>
      </c>
      <c r="C41" s="4">
        <v>0</v>
      </c>
      <c r="D41" s="4">
        <v>11.572900000000001</v>
      </c>
    </row>
    <row r="42" spans="1:4" x14ac:dyDescent="0.2">
      <c r="A42" s="83">
        <v>140</v>
      </c>
      <c r="B42" t="s">
        <v>299</v>
      </c>
      <c r="C42" s="4">
        <v>0</v>
      </c>
      <c r="D42" s="4">
        <v>11.5075</v>
      </c>
    </row>
    <row r="43" spans="1:4" x14ac:dyDescent="0.2">
      <c r="A43" s="83">
        <v>141</v>
      </c>
      <c r="B43" t="s">
        <v>300</v>
      </c>
      <c r="C43" s="4">
        <v>0</v>
      </c>
      <c r="D43" s="4">
        <v>11.3468</v>
      </c>
    </row>
    <row r="44" spans="1:4" x14ac:dyDescent="0.2">
      <c r="A44" s="83">
        <v>142</v>
      </c>
      <c r="B44" t="s">
        <v>301</v>
      </c>
      <c r="C44" s="4">
        <v>0</v>
      </c>
      <c r="D44" s="4">
        <v>11.1906</v>
      </c>
    </row>
    <row r="45" spans="1:4" x14ac:dyDescent="0.2">
      <c r="A45" s="83">
        <v>143</v>
      </c>
      <c r="B45" t="s">
        <v>302</v>
      </c>
      <c r="C45" s="4">
        <v>0</v>
      </c>
      <c r="D45" s="4">
        <v>11.039</v>
      </c>
    </row>
    <row r="46" spans="1:4" x14ac:dyDescent="0.2">
      <c r="A46" s="83">
        <v>144</v>
      </c>
      <c r="B46" t="s">
        <v>303</v>
      </c>
      <c r="C46" s="4">
        <v>0</v>
      </c>
      <c r="D46" s="4">
        <v>10.892099999999999</v>
      </c>
    </row>
    <row r="47" spans="1:4" x14ac:dyDescent="0.2">
      <c r="A47" s="83">
        <v>145</v>
      </c>
      <c r="B47" t="s">
        <v>304</v>
      </c>
      <c r="C47" s="4">
        <v>0</v>
      </c>
      <c r="D47" s="4">
        <v>10.7499</v>
      </c>
    </row>
    <row r="48" spans="1:4" x14ac:dyDescent="0.2">
      <c r="A48" s="83">
        <v>146</v>
      </c>
      <c r="B48" t="s">
        <v>305</v>
      </c>
      <c r="C48" s="4">
        <v>0</v>
      </c>
      <c r="D48" s="4">
        <v>10.645099999999999</v>
      </c>
    </row>
    <row r="49" spans="1:4" x14ac:dyDescent="0.2">
      <c r="A49" s="83">
        <v>147</v>
      </c>
      <c r="B49" t="s">
        <v>306</v>
      </c>
      <c r="C49" s="4">
        <v>0</v>
      </c>
      <c r="D49" s="4">
        <v>10.544700000000001</v>
      </c>
    </row>
    <row r="50" spans="1:4" x14ac:dyDescent="0.2">
      <c r="A50" s="83">
        <v>148</v>
      </c>
      <c r="B50" t="s">
        <v>307</v>
      </c>
      <c r="C50" s="4">
        <v>0</v>
      </c>
      <c r="D50" s="4">
        <v>10.448600000000001</v>
      </c>
    </row>
    <row r="51" spans="1:4" x14ac:dyDescent="0.2">
      <c r="A51" s="83">
        <v>149</v>
      </c>
      <c r="B51" t="s">
        <v>308</v>
      </c>
      <c r="C51" s="4">
        <v>0</v>
      </c>
      <c r="D51" s="4">
        <v>10.3566</v>
      </c>
    </row>
    <row r="52" spans="1:4" x14ac:dyDescent="0.2">
      <c r="A52" s="83">
        <v>150</v>
      </c>
      <c r="B52" t="s">
        <v>309</v>
      </c>
      <c r="C52" s="4">
        <v>0</v>
      </c>
      <c r="D52" s="4">
        <v>10.268800000000001</v>
      </c>
    </row>
    <row r="53" spans="1:4" x14ac:dyDescent="0.2">
      <c r="A53" s="83">
        <v>151</v>
      </c>
      <c r="B53" t="s">
        <v>310</v>
      </c>
      <c r="C53" s="4">
        <v>0</v>
      </c>
      <c r="D53" s="4">
        <v>10.323600000000001</v>
      </c>
    </row>
    <row r="54" spans="1:4" x14ac:dyDescent="0.2">
      <c r="A54" s="83">
        <v>152</v>
      </c>
      <c r="B54" t="s">
        <v>311</v>
      </c>
      <c r="C54" s="4">
        <v>0</v>
      </c>
      <c r="D54" s="4">
        <v>10.379799999999999</v>
      </c>
    </row>
    <row r="55" spans="1:4" x14ac:dyDescent="0.2">
      <c r="A55" s="83">
        <v>153</v>
      </c>
      <c r="B55" t="s">
        <v>312</v>
      </c>
      <c r="C55" s="4">
        <v>0</v>
      </c>
      <c r="D55" s="4">
        <v>10.4375</v>
      </c>
    </row>
    <row r="56" spans="1:4" x14ac:dyDescent="0.2">
      <c r="A56" s="83">
        <v>154</v>
      </c>
      <c r="B56" t="s">
        <v>313</v>
      </c>
      <c r="C56" s="4">
        <v>0</v>
      </c>
      <c r="D56" s="4">
        <v>10.4968</v>
      </c>
    </row>
    <row r="57" spans="1:4" x14ac:dyDescent="0.2">
      <c r="A57" s="83">
        <v>155</v>
      </c>
      <c r="B57" t="s">
        <v>314</v>
      </c>
      <c r="C57" s="4">
        <v>0</v>
      </c>
      <c r="D57" s="4">
        <v>10.5578</v>
      </c>
    </row>
    <row r="58" spans="1:4" x14ac:dyDescent="0.2">
      <c r="A58" s="83">
        <v>156</v>
      </c>
      <c r="B58" t="s">
        <v>315</v>
      </c>
      <c r="C58" s="4">
        <v>0</v>
      </c>
      <c r="D58" s="4">
        <v>10.611000000000001</v>
      </c>
    </row>
    <row r="59" spans="1:4" x14ac:dyDescent="0.2">
      <c r="A59" s="83">
        <v>157</v>
      </c>
      <c r="B59" t="s">
        <v>316</v>
      </c>
      <c r="C59" s="4">
        <v>0</v>
      </c>
      <c r="D59" s="4">
        <v>10.6663</v>
      </c>
    </row>
    <row r="60" spans="1:4" x14ac:dyDescent="0.2">
      <c r="A60" s="83">
        <v>158</v>
      </c>
      <c r="B60" t="s">
        <v>317</v>
      </c>
      <c r="C60" s="4">
        <v>0</v>
      </c>
      <c r="D60" s="4">
        <v>10.7235</v>
      </c>
    </row>
    <row r="61" spans="1:4" x14ac:dyDescent="0.2">
      <c r="A61" s="83">
        <v>159</v>
      </c>
      <c r="B61" t="s">
        <v>318</v>
      </c>
      <c r="C61" s="4">
        <v>0</v>
      </c>
      <c r="D61" s="4">
        <v>10.7828</v>
      </c>
    </row>
    <row r="62" spans="1:4" x14ac:dyDescent="0.2">
      <c r="A62" s="83">
        <v>160</v>
      </c>
      <c r="B62" t="s">
        <v>319</v>
      </c>
      <c r="C62" s="4">
        <v>0</v>
      </c>
      <c r="D62" s="4">
        <v>10.844200000000001</v>
      </c>
    </row>
    <row r="63" spans="1:4" x14ac:dyDescent="0.2">
      <c r="A63" s="83">
        <v>161</v>
      </c>
      <c r="B63" t="s">
        <v>320</v>
      </c>
      <c r="C63" s="4">
        <v>0</v>
      </c>
      <c r="D63" s="4">
        <v>10.7791</v>
      </c>
    </row>
    <row r="64" spans="1:4" x14ac:dyDescent="0.2">
      <c r="A64" s="83">
        <v>162</v>
      </c>
      <c r="B64" t="s">
        <v>321</v>
      </c>
      <c r="C64" s="4">
        <v>0</v>
      </c>
      <c r="D64" s="4">
        <v>10.7172</v>
      </c>
    </row>
    <row r="65" spans="1:4" x14ac:dyDescent="0.2">
      <c r="A65" s="83">
        <v>163</v>
      </c>
      <c r="B65" t="s">
        <v>322</v>
      </c>
      <c r="C65" s="4">
        <v>0</v>
      </c>
      <c r="D65" s="4">
        <v>10.658300000000001</v>
      </c>
    </row>
    <row r="66" spans="1:4" x14ac:dyDescent="0.2">
      <c r="A66" s="83">
        <v>164</v>
      </c>
      <c r="B66" t="s">
        <v>323</v>
      </c>
      <c r="C66" s="4">
        <v>0</v>
      </c>
      <c r="D66" s="4">
        <v>10.602499999999999</v>
      </c>
    </row>
    <row r="67" spans="1:4" x14ac:dyDescent="0.2">
      <c r="A67" s="83">
        <v>165</v>
      </c>
      <c r="B67" t="s">
        <v>324</v>
      </c>
      <c r="C67" s="4">
        <v>0</v>
      </c>
      <c r="D67" s="4">
        <v>10.5495</v>
      </c>
    </row>
    <row r="68" spans="1:4" x14ac:dyDescent="0.2">
      <c r="A68" s="83">
        <v>166</v>
      </c>
      <c r="B68" t="s">
        <v>325</v>
      </c>
      <c r="C68" s="4">
        <v>0</v>
      </c>
      <c r="D68" s="4">
        <v>10.522</v>
      </c>
    </row>
    <row r="69" spans="1:4" x14ac:dyDescent="0.2">
      <c r="A69" s="83">
        <v>167</v>
      </c>
      <c r="B69" t="s">
        <v>326</v>
      </c>
      <c r="C69" s="4">
        <v>0</v>
      </c>
      <c r="D69" s="4">
        <v>10.4977</v>
      </c>
    </row>
    <row r="70" spans="1:4" x14ac:dyDescent="0.2">
      <c r="A70" s="83">
        <v>168</v>
      </c>
      <c r="B70" t="s">
        <v>327</v>
      </c>
      <c r="C70" s="4">
        <v>0</v>
      </c>
      <c r="D70" s="4">
        <v>10.4765</v>
      </c>
    </row>
    <row r="71" spans="1:4" x14ac:dyDescent="0.2">
      <c r="A71" s="83">
        <v>169</v>
      </c>
      <c r="B71" t="s">
        <v>328</v>
      </c>
      <c r="C71" s="4">
        <v>0</v>
      </c>
      <c r="D71" s="4">
        <v>10.458299999999999</v>
      </c>
    </row>
    <row r="72" spans="1:4" x14ac:dyDescent="0.2">
      <c r="A72" s="83">
        <v>170</v>
      </c>
      <c r="B72" t="s">
        <v>329</v>
      </c>
      <c r="C72" s="4">
        <v>0</v>
      </c>
      <c r="D72" s="4">
        <v>10.443099999999999</v>
      </c>
    </row>
    <row r="73" spans="1:4" x14ac:dyDescent="0.2">
      <c r="A73" s="83">
        <v>171</v>
      </c>
      <c r="B73" t="s">
        <v>330</v>
      </c>
      <c r="C73" s="4">
        <v>0</v>
      </c>
      <c r="D73" s="4">
        <v>10.5139</v>
      </c>
    </row>
    <row r="74" spans="1:4" x14ac:dyDescent="0.2">
      <c r="A74" s="83">
        <v>172</v>
      </c>
      <c r="B74" t="s">
        <v>331</v>
      </c>
      <c r="C74" s="4">
        <v>0</v>
      </c>
      <c r="D74" s="4">
        <v>10.5867</v>
      </c>
    </row>
    <row r="75" spans="1:4" x14ac:dyDescent="0.2">
      <c r="A75" s="83">
        <v>173</v>
      </c>
      <c r="B75" t="s">
        <v>332</v>
      </c>
      <c r="C75" s="4">
        <v>0</v>
      </c>
      <c r="D75" s="4">
        <v>10.661300000000001</v>
      </c>
    </row>
    <row r="76" spans="1:4" x14ac:dyDescent="0.2">
      <c r="A76" s="83">
        <v>174</v>
      </c>
      <c r="B76" t="s">
        <v>333</v>
      </c>
      <c r="C76" s="4">
        <v>0</v>
      </c>
      <c r="D76" s="4">
        <v>10.7379</v>
      </c>
    </row>
    <row r="77" spans="1:4" x14ac:dyDescent="0.2">
      <c r="A77" s="83">
        <v>175</v>
      </c>
      <c r="B77" t="s">
        <v>334</v>
      </c>
      <c r="C77" s="4">
        <v>0</v>
      </c>
      <c r="D77" s="4">
        <v>10.8163</v>
      </c>
    </row>
    <row r="78" spans="1:4" x14ac:dyDescent="0.2">
      <c r="A78" s="83">
        <v>176</v>
      </c>
      <c r="B78" t="s">
        <v>335</v>
      </c>
      <c r="C78" s="4">
        <v>0</v>
      </c>
      <c r="D78" s="4">
        <v>10.9389</v>
      </c>
    </row>
    <row r="79" spans="1:4" x14ac:dyDescent="0.2">
      <c r="A79" s="83">
        <v>177</v>
      </c>
      <c r="B79" t="s">
        <v>336</v>
      </c>
      <c r="C79" s="4">
        <v>0</v>
      </c>
      <c r="D79" s="4">
        <v>11.062900000000001</v>
      </c>
    </row>
    <row r="80" spans="1:4" x14ac:dyDescent="0.2">
      <c r="A80" s="83">
        <v>178</v>
      </c>
      <c r="B80" t="s">
        <v>337</v>
      </c>
      <c r="C80" s="4">
        <v>0</v>
      </c>
      <c r="D80" s="4">
        <v>11.1883</v>
      </c>
    </row>
    <row r="81" spans="1:4" x14ac:dyDescent="0.2">
      <c r="A81" s="83">
        <v>179</v>
      </c>
      <c r="B81" t="s">
        <v>338</v>
      </c>
      <c r="C81" s="4">
        <v>0</v>
      </c>
      <c r="D81" s="4">
        <v>11.315300000000001</v>
      </c>
    </row>
    <row r="82" spans="1:4" x14ac:dyDescent="0.2">
      <c r="A82" s="83">
        <v>180</v>
      </c>
      <c r="B82" t="s">
        <v>339</v>
      </c>
      <c r="C82" s="4">
        <v>0</v>
      </c>
      <c r="D82" s="4">
        <v>11.4437</v>
      </c>
    </row>
    <row r="83" spans="1:4" x14ac:dyDescent="0.2">
      <c r="A83" s="83">
        <v>181</v>
      </c>
      <c r="B83" t="s">
        <v>340</v>
      </c>
      <c r="C83" s="4">
        <v>0</v>
      </c>
      <c r="D83" s="4">
        <v>11.587</v>
      </c>
    </row>
    <row r="84" spans="1:4" x14ac:dyDescent="0.2">
      <c r="A84" s="83">
        <v>182</v>
      </c>
      <c r="B84" t="s">
        <v>341</v>
      </c>
      <c r="C84" s="4">
        <v>0</v>
      </c>
      <c r="D84" s="4">
        <v>11.7318</v>
      </c>
    </row>
    <row r="85" spans="1:4" x14ac:dyDescent="0.2">
      <c r="A85" s="83">
        <v>183</v>
      </c>
      <c r="B85" t="s">
        <v>342</v>
      </c>
      <c r="C85" s="4">
        <v>0</v>
      </c>
      <c r="D85" s="4">
        <v>11.8781</v>
      </c>
    </row>
    <row r="86" spans="1:4" x14ac:dyDescent="0.2">
      <c r="A86" s="83">
        <v>184</v>
      </c>
      <c r="B86" t="s">
        <v>343</v>
      </c>
      <c r="C86" s="4">
        <v>0</v>
      </c>
      <c r="D86" s="4">
        <v>12.0258</v>
      </c>
    </row>
    <row r="87" spans="1:4" x14ac:dyDescent="0.2">
      <c r="A87" s="83">
        <v>185</v>
      </c>
      <c r="B87" t="s">
        <v>344</v>
      </c>
      <c r="C87" s="4">
        <v>0</v>
      </c>
      <c r="D87" s="4">
        <v>12.1752</v>
      </c>
    </row>
    <row r="88" spans="1:4" x14ac:dyDescent="0.2">
      <c r="A88" s="83">
        <v>186</v>
      </c>
      <c r="B88" t="s">
        <v>345</v>
      </c>
      <c r="C88" s="4">
        <v>0</v>
      </c>
      <c r="D88" s="4">
        <v>12.326000000000001</v>
      </c>
    </row>
    <row r="89" spans="1:4" x14ac:dyDescent="0.2">
      <c r="A89" s="83">
        <v>187</v>
      </c>
      <c r="B89" t="s">
        <v>346</v>
      </c>
      <c r="C89" s="4">
        <v>0</v>
      </c>
      <c r="D89" s="4">
        <v>12.4785</v>
      </c>
    </row>
    <row r="90" spans="1:4" x14ac:dyDescent="0.2">
      <c r="A90" s="83">
        <v>188</v>
      </c>
      <c r="B90" t="s">
        <v>347</v>
      </c>
      <c r="C90" s="4">
        <v>0</v>
      </c>
      <c r="D90" s="4">
        <v>12.6325</v>
      </c>
    </row>
    <row r="91" spans="1:4" x14ac:dyDescent="0.2">
      <c r="A91" s="83">
        <v>189</v>
      </c>
      <c r="B91" t="s">
        <v>348</v>
      </c>
      <c r="C91" s="4">
        <v>0</v>
      </c>
      <c r="D91" s="4">
        <v>12.7882</v>
      </c>
    </row>
    <row r="92" spans="1:4" x14ac:dyDescent="0.2">
      <c r="A92" s="83">
        <v>190</v>
      </c>
      <c r="B92" t="s">
        <v>349</v>
      </c>
      <c r="C92" s="4">
        <v>0</v>
      </c>
      <c r="D92" s="4">
        <v>12.945600000000001</v>
      </c>
    </row>
    <row r="93" spans="1:4" x14ac:dyDescent="0.2">
      <c r="A93" s="83">
        <v>191</v>
      </c>
      <c r="B93" t="s">
        <v>350</v>
      </c>
      <c r="C93" s="4">
        <v>0</v>
      </c>
      <c r="D93" s="4">
        <v>13.770899999999999</v>
      </c>
    </row>
    <row r="94" spans="1:4" x14ac:dyDescent="0.2">
      <c r="A94" s="83">
        <v>192</v>
      </c>
      <c r="B94" t="s">
        <v>351</v>
      </c>
      <c r="C94" s="4">
        <v>0</v>
      </c>
      <c r="D94" s="4">
        <v>14.617000000000001</v>
      </c>
    </row>
    <row r="95" spans="1:4" x14ac:dyDescent="0.2">
      <c r="A95" s="83">
        <v>193</v>
      </c>
      <c r="B95" t="s">
        <v>352</v>
      </c>
      <c r="C95" s="4">
        <v>0</v>
      </c>
      <c r="D95" s="4">
        <v>15.486000000000001</v>
      </c>
    </row>
    <row r="96" spans="1:4" x14ac:dyDescent="0.2">
      <c r="A96" s="83">
        <v>194</v>
      </c>
      <c r="B96" t="s">
        <v>353</v>
      </c>
      <c r="C96" s="4">
        <v>0</v>
      </c>
      <c r="D96" s="4">
        <v>16.380099999999999</v>
      </c>
    </row>
    <row r="97" spans="1:4" x14ac:dyDescent="0.2">
      <c r="A97" s="83">
        <v>195</v>
      </c>
      <c r="B97" t="s">
        <v>354</v>
      </c>
      <c r="C97" s="4">
        <v>0</v>
      </c>
      <c r="D97" s="4">
        <v>17.301600000000001</v>
      </c>
    </row>
    <row r="98" spans="1:4" x14ac:dyDescent="0.2">
      <c r="A98" s="83">
        <v>196</v>
      </c>
      <c r="B98" t="s">
        <v>355</v>
      </c>
      <c r="C98" s="4">
        <v>0</v>
      </c>
      <c r="D98" s="4">
        <v>18.252600000000001</v>
      </c>
    </row>
    <row r="99" spans="1:4" x14ac:dyDescent="0.2">
      <c r="A99" s="83">
        <v>197</v>
      </c>
      <c r="B99" t="s">
        <v>356</v>
      </c>
      <c r="C99" s="4">
        <v>0</v>
      </c>
      <c r="D99" s="4">
        <v>19.2348</v>
      </c>
    </row>
    <row r="100" spans="1:4" x14ac:dyDescent="0.2">
      <c r="A100" s="83">
        <v>198</v>
      </c>
      <c r="B100" t="s">
        <v>357</v>
      </c>
      <c r="C100" s="4">
        <v>0</v>
      </c>
      <c r="D100" s="4">
        <v>20.249400000000001</v>
      </c>
    </row>
    <row r="101" spans="1:4" x14ac:dyDescent="0.2">
      <c r="A101" s="83">
        <v>199</v>
      </c>
      <c r="B101" t="s">
        <v>358</v>
      </c>
      <c r="C101" s="4">
        <v>0</v>
      </c>
      <c r="D101" s="4">
        <v>21.297799999999999</v>
      </c>
    </row>
    <row r="102" spans="1:4" x14ac:dyDescent="0.2">
      <c r="A102" s="83">
        <v>200</v>
      </c>
      <c r="B102" t="s">
        <v>359</v>
      </c>
      <c r="C102" s="4">
        <v>0</v>
      </c>
      <c r="D102" s="4">
        <v>22.381</v>
      </c>
    </row>
    <row r="103" spans="1:4" x14ac:dyDescent="0.2">
      <c r="A103" s="83">
        <v>201</v>
      </c>
      <c r="B103" t="s">
        <v>360</v>
      </c>
      <c r="C103" s="4">
        <v>0</v>
      </c>
      <c r="D103" s="4">
        <v>23.508199999999999</v>
      </c>
    </row>
    <row r="104" spans="1:4" x14ac:dyDescent="0.2">
      <c r="A104" s="83">
        <v>202</v>
      </c>
      <c r="B104" t="s">
        <v>361</v>
      </c>
      <c r="C104" s="4">
        <v>0</v>
      </c>
      <c r="D104" s="4">
        <v>24.6721</v>
      </c>
    </row>
    <row r="105" spans="1:4" x14ac:dyDescent="0.2">
      <c r="A105" s="83">
        <v>203</v>
      </c>
      <c r="B105" t="s">
        <v>362</v>
      </c>
      <c r="C105" s="4">
        <v>0</v>
      </c>
      <c r="D105" s="4">
        <v>25.872900000000001</v>
      </c>
    </row>
    <row r="106" spans="1:4" x14ac:dyDescent="0.2">
      <c r="A106" s="83">
        <v>204</v>
      </c>
      <c r="B106" t="s">
        <v>363</v>
      </c>
      <c r="C106" s="4">
        <v>0</v>
      </c>
      <c r="D106" s="4">
        <v>27.110700000000001</v>
      </c>
    </row>
    <row r="107" spans="1:4" x14ac:dyDescent="0.2">
      <c r="A107" s="83">
        <v>205</v>
      </c>
      <c r="B107" t="s">
        <v>364</v>
      </c>
      <c r="C107" s="4">
        <v>0</v>
      </c>
      <c r="D107" s="4">
        <v>28.385000000000002</v>
      </c>
    </row>
    <row r="108" spans="1:4" x14ac:dyDescent="0.2">
      <c r="A108" s="83">
        <v>206</v>
      </c>
      <c r="B108" t="s">
        <v>365</v>
      </c>
      <c r="C108" s="4">
        <v>0</v>
      </c>
      <c r="D108" s="4">
        <v>29.7135</v>
      </c>
    </row>
    <row r="109" spans="1:4" x14ac:dyDescent="0.2">
      <c r="A109" s="83">
        <v>207</v>
      </c>
      <c r="B109" t="s">
        <v>366</v>
      </c>
      <c r="C109" s="4">
        <v>0</v>
      </c>
      <c r="D109" s="4">
        <v>31.078199999999999</v>
      </c>
    </row>
    <row r="110" spans="1:4" x14ac:dyDescent="0.2">
      <c r="A110" s="83">
        <v>208</v>
      </c>
      <c r="B110" t="s">
        <v>367</v>
      </c>
      <c r="C110" s="4">
        <v>0</v>
      </c>
      <c r="D110" s="4">
        <v>32.477899999999998</v>
      </c>
    </row>
    <row r="111" spans="1:4" x14ac:dyDescent="0.2">
      <c r="A111" s="83">
        <v>209</v>
      </c>
      <c r="B111" t="s">
        <v>368</v>
      </c>
      <c r="C111" s="4">
        <v>0</v>
      </c>
      <c r="D111" s="4">
        <v>33.911299999999997</v>
      </c>
    </row>
    <row r="112" spans="1:4" x14ac:dyDescent="0.2">
      <c r="A112" s="83">
        <v>210</v>
      </c>
      <c r="B112" t="s">
        <v>369</v>
      </c>
      <c r="C112" s="4">
        <v>0</v>
      </c>
      <c r="D112" s="4">
        <v>35.376600000000003</v>
      </c>
    </row>
    <row r="113" spans="1:4" x14ac:dyDescent="0.2">
      <c r="A113" s="83">
        <v>211</v>
      </c>
      <c r="B113" t="s">
        <v>370</v>
      </c>
      <c r="C113" s="4">
        <v>0</v>
      </c>
      <c r="D113" s="4">
        <v>36.898099999999999</v>
      </c>
    </row>
    <row r="114" spans="1:4" x14ac:dyDescent="0.2">
      <c r="A114" s="83">
        <v>212</v>
      </c>
      <c r="B114" t="s">
        <v>371</v>
      </c>
      <c r="C114" s="4">
        <v>0</v>
      </c>
      <c r="D114" s="4">
        <v>38.4482</v>
      </c>
    </row>
    <row r="115" spans="1:4" x14ac:dyDescent="0.2">
      <c r="A115" s="83">
        <v>213</v>
      </c>
      <c r="B115" t="s">
        <v>372</v>
      </c>
      <c r="C115" s="4">
        <v>0</v>
      </c>
      <c r="D115" s="4">
        <v>40.024000000000001</v>
      </c>
    </row>
    <row r="116" spans="1:4" x14ac:dyDescent="0.2">
      <c r="A116" s="83">
        <v>214</v>
      </c>
      <c r="B116" t="s">
        <v>373</v>
      </c>
      <c r="C116" s="4">
        <v>0</v>
      </c>
      <c r="D116" s="4">
        <v>41.622300000000003</v>
      </c>
    </row>
    <row r="117" spans="1:4" x14ac:dyDescent="0.2">
      <c r="A117" s="83">
        <v>215</v>
      </c>
      <c r="B117" t="s">
        <v>374</v>
      </c>
      <c r="C117" s="4">
        <v>0</v>
      </c>
      <c r="D117" s="4">
        <v>43.239800000000002</v>
      </c>
    </row>
    <row r="118" spans="1:4" x14ac:dyDescent="0.2">
      <c r="A118" s="83">
        <v>216</v>
      </c>
      <c r="B118" t="s">
        <v>375</v>
      </c>
      <c r="C118" s="4">
        <v>0</v>
      </c>
      <c r="D118" s="4">
        <v>44.912999999999997</v>
      </c>
    </row>
    <row r="119" spans="1:4" x14ac:dyDescent="0.2">
      <c r="A119" s="83">
        <v>217</v>
      </c>
      <c r="B119" t="s">
        <v>376</v>
      </c>
      <c r="C119" s="4">
        <v>0</v>
      </c>
      <c r="D119" s="4">
        <v>46.598500000000001</v>
      </c>
    </row>
    <row r="120" spans="1:4" x14ac:dyDescent="0.2">
      <c r="A120" s="83">
        <v>218</v>
      </c>
      <c r="B120" t="s">
        <v>377</v>
      </c>
      <c r="C120" s="4">
        <v>0</v>
      </c>
      <c r="D120" s="4">
        <v>48.291899999999998</v>
      </c>
    </row>
    <row r="121" spans="1:4" x14ac:dyDescent="0.2">
      <c r="A121" s="83">
        <v>219</v>
      </c>
      <c r="B121" t="s">
        <v>378</v>
      </c>
      <c r="C121" s="4">
        <v>0</v>
      </c>
      <c r="D121" s="4">
        <v>49.988199999999999</v>
      </c>
    </row>
    <row r="122" spans="1:4" x14ac:dyDescent="0.2">
      <c r="A122" s="83">
        <v>220</v>
      </c>
      <c r="B122" t="s">
        <v>379</v>
      </c>
      <c r="C122" s="4">
        <v>0</v>
      </c>
      <c r="D122" s="4">
        <v>51.682600000000001</v>
      </c>
    </row>
    <row r="123" spans="1:4" x14ac:dyDescent="0.2">
      <c r="A123" s="83">
        <v>221</v>
      </c>
      <c r="B123" t="s">
        <v>380</v>
      </c>
      <c r="C123" s="4">
        <v>0</v>
      </c>
      <c r="D123" s="4">
        <v>53.531300000000002</v>
      </c>
    </row>
    <row r="124" spans="1:4" x14ac:dyDescent="0.2">
      <c r="A124" s="83">
        <v>222</v>
      </c>
      <c r="B124" t="s">
        <v>381</v>
      </c>
      <c r="C124" s="4">
        <v>0</v>
      </c>
      <c r="D124" s="4">
        <v>55.366999999999997</v>
      </c>
    </row>
    <row r="125" spans="1:4" x14ac:dyDescent="0.2">
      <c r="A125" s="83">
        <v>223</v>
      </c>
      <c r="B125" t="s">
        <v>382</v>
      </c>
      <c r="C125" s="4">
        <v>0</v>
      </c>
      <c r="D125" s="4">
        <v>57.183300000000003</v>
      </c>
    </row>
    <row r="126" spans="1:4" x14ac:dyDescent="0.2">
      <c r="A126" s="83">
        <v>224</v>
      </c>
      <c r="B126" t="s">
        <v>383</v>
      </c>
      <c r="C126" s="4">
        <v>0</v>
      </c>
      <c r="D126" s="4">
        <v>58.9739</v>
      </c>
    </row>
    <row r="127" spans="1:4" x14ac:dyDescent="0.2">
      <c r="A127" s="83">
        <v>225</v>
      </c>
      <c r="B127" t="s">
        <v>384</v>
      </c>
      <c r="C127" s="4">
        <v>0</v>
      </c>
      <c r="D127" s="4">
        <v>60.732100000000003</v>
      </c>
    </row>
    <row r="128" spans="1:4" x14ac:dyDescent="0.2">
      <c r="A128" s="83">
        <v>226</v>
      </c>
      <c r="B128" t="s">
        <v>385</v>
      </c>
      <c r="C128" s="4">
        <v>0</v>
      </c>
      <c r="D128" s="4">
        <v>62.759799999999998</v>
      </c>
    </row>
    <row r="129" spans="1:4" x14ac:dyDescent="0.2">
      <c r="A129" s="83">
        <v>227</v>
      </c>
      <c r="B129" t="s">
        <v>386</v>
      </c>
      <c r="C129" s="4">
        <v>0</v>
      </c>
      <c r="D129" s="4">
        <v>64.736599999999996</v>
      </c>
    </row>
    <row r="130" spans="1:4" x14ac:dyDescent="0.2">
      <c r="A130" s="83">
        <v>228</v>
      </c>
      <c r="B130" t="s">
        <v>387</v>
      </c>
      <c r="C130" s="4">
        <v>0</v>
      </c>
      <c r="D130" s="4">
        <v>66.6554</v>
      </c>
    </row>
    <row r="131" spans="1:4" x14ac:dyDescent="0.2">
      <c r="A131" s="83">
        <v>229</v>
      </c>
      <c r="B131" t="s">
        <v>388</v>
      </c>
      <c r="C131" s="4">
        <v>0</v>
      </c>
      <c r="D131" s="4">
        <v>68.509799999999998</v>
      </c>
    </row>
    <row r="132" spans="1:4" x14ac:dyDescent="0.2">
      <c r="A132" s="83">
        <v>230</v>
      </c>
      <c r="B132" t="s">
        <v>389</v>
      </c>
      <c r="C132" s="4">
        <v>0</v>
      </c>
      <c r="D132" s="4">
        <v>70.293999999999997</v>
      </c>
    </row>
    <row r="133" spans="1:4" x14ac:dyDescent="0.2">
      <c r="A133" s="83">
        <v>231</v>
      </c>
      <c r="B133" t="s">
        <v>390</v>
      </c>
      <c r="C133" s="4">
        <v>0</v>
      </c>
      <c r="D133" s="4">
        <v>71.833100000000002</v>
      </c>
    </row>
    <row r="134" spans="1:4" x14ac:dyDescent="0.2">
      <c r="A134" s="83">
        <v>232</v>
      </c>
      <c r="B134" t="s">
        <v>391</v>
      </c>
      <c r="C134" s="4">
        <v>0</v>
      </c>
      <c r="D134" s="4">
        <v>73.308700000000002</v>
      </c>
    </row>
    <row r="135" spans="1:4" x14ac:dyDescent="0.2">
      <c r="A135" s="83">
        <v>233</v>
      </c>
      <c r="B135" t="s">
        <v>392</v>
      </c>
      <c r="C135" s="4">
        <v>0</v>
      </c>
      <c r="D135" s="4">
        <v>74.717699999999994</v>
      </c>
    </row>
    <row r="136" spans="1:4" x14ac:dyDescent="0.2">
      <c r="A136" s="83">
        <v>234</v>
      </c>
      <c r="B136" t="s">
        <v>393</v>
      </c>
      <c r="C136" s="4">
        <v>0</v>
      </c>
      <c r="D136" s="4">
        <v>76.057900000000004</v>
      </c>
    </row>
    <row r="137" spans="1:4" x14ac:dyDescent="0.2">
      <c r="A137" s="83">
        <v>235</v>
      </c>
      <c r="B137" t="s">
        <v>394</v>
      </c>
      <c r="C137" s="4">
        <v>0</v>
      </c>
      <c r="D137" s="4">
        <v>77.327699999999993</v>
      </c>
    </row>
    <row r="138" spans="1:4" x14ac:dyDescent="0.2">
      <c r="A138" s="83">
        <v>236</v>
      </c>
      <c r="B138" t="s">
        <v>395</v>
      </c>
      <c r="C138" s="4">
        <v>0</v>
      </c>
      <c r="D138" s="4">
        <v>78.051699999999997</v>
      </c>
    </row>
    <row r="139" spans="1:4" x14ac:dyDescent="0.2">
      <c r="A139" s="83">
        <v>237</v>
      </c>
      <c r="B139" t="s">
        <v>396</v>
      </c>
      <c r="C139" s="4">
        <v>0</v>
      </c>
      <c r="D139" s="4">
        <v>78.717500000000001</v>
      </c>
    </row>
    <row r="140" spans="1:4" x14ac:dyDescent="0.2">
      <c r="A140" s="83">
        <v>238</v>
      </c>
      <c r="B140" t="s">
        <v>397</v>
      </c>
      <c r="C140" s="4">
        <v>0</v>
      </c>
      <c r="D140" s="4">
        <v>79.324299999999994</v>
      </c>
    </row>
    <row r="141" spans="1:4" x14ac:dyDescent="0.2">
      <c r="A141" s="83">
        <v>239</v>
      </c>
      <c r="B141" t="s">
        <v>398</v>
      </c>
      <c r="C141" s="4">
        <v>0</v>
      </c>
      <c r="D141" s="4">
        <v>79.877300000000005</v>
      </c>
    </row>
    <row r="142" spans="1:4" x14ac:dyDescent="0.2">
      <c r="A142" s="83">
        <v>240</v>
      </c>
      <c r="B142" t="s">
        <v>399</v>
      </c>
      <c r="C142" s="4">
        <v>0</v>
      </c>
      <c r="D142" s="4">
        <v>80.393799999999999</v>
      </c>
    </row>
    <row r="143" spans="1:4" x14ac:dyDescent="0.2">
      <c r="A143" s="83">
        <v>241</v>
      </c>
      <c r="B143" t="s">
        <v>400</v>
      </c>
      <c r="C143" s="4">
        <v>0</v>
      </c>
      <c r="D143" s="4">
        <v>80.698400000000007</v>
      </c>
    </row>
    <row r="144" spans="1:4" x14ac:dyDescent="0.2">
      <c r="A144" s="83">
        <v>242</v>
      </c>
      <c r="B144" t="s">
        <v>401</v>
      </c>
      <c r="C144" s="4">
        <v>0</v>
      </c>
      <c r="D144" s="4">
        <v>80.963899999999995</v>
      </c>
    </row>
    <row r="145" spans="1:4" x14ac:dyDescent="0.2">
      <c r="A145" s="83">
        <v>243</v>
      </c>
      <c r="B145" t="s">
        <v>402</v>
      </c>
      <c r="C145" s="4">
        <v>0</v>
      </c>
      <c r="D145" s="4">
        <v>81.191100000000006</v>
      </c>
    </row>
    <row r="146" spans="1:4" x14ac:dyDescent="0.2">
      <c r="A146" s="83">
        <v>244</v>
      </c>
      <c r="B146" t="s">
        <v>403</v>
      </c>
      <c r="C146" s="4">
        <v>0</v>
      </c>
      <c r="D146" s="4">
        <v>81.381</v>
      </c>
    </row>
    <row r="147" spans="1:4" x14ac:dyDescent="0.2">
      <c r="A147" s="83">
        <v>245</v>
      </c>
      <c r="B147" t="s">
        <v>404</v>
      </c>
      <c r="C147" s="4">
        <v>0</v>
      </c>
      <c r="D147" s="4">
        <v>81.534199999999998</v>
      </c>
    </row>
    <row r="148" spans="1:4" x14ac:dyDescent="0.2">
      <c r="A148" s="83">
        <v>246</v>
      </c>
      <c r="B148" t="s">
        <v>405</v>
      </c>
      <c r="C148" s="4">
        <v>0</v>
      </c>
      <c r="D148" s="4">
        <v>81.678399999999996</v>
      </c>
    </row>
    <row r="149" spans="1:4" x14ac:dyDescent="0.2">
      <c r="A149" s="83">
        <v>247</v>
      </c>
      <c r="B149" t="s">
        <v>406</v>
      </c>
      <c r="C149" s="4">
        <v>0</v>
      </c>
      <c r="D149" s="4">
        <v>81.778599999999997</v>
      </c>
    </row>
    <row r="150" spans="1:4" x14ac:dyDescent="0.2">
      <c r="A150" s="83">
        <v>248</v>
      </c>
      <c r="B150" t="s">
        <v>407</v>
      </c>
      <c r="C150" s="4">
        <v>0</v>
      </c>
      <c r="D150" s="4">
        <v>81.835499999999996</v>
      </c>
    </row>
    <row r="151" spans="1:4" x14ac:dyDescent="0.2">
      <c r="A151" s="83">
        <v>249</v>
      </c>
      <c r="B151" t="s">
        <v>408</v>
      </c>
      <c r="C151" s="4">
        <v>0</v>
      </c>
      <c r="D151" s="4">
        <v>81.849800000000002</v>
      </c>
    </row>
    <row r="152" spans="1:4" x14ac:dyDescent="0.2">
      <c r="A152" s="83">
        <v>250</v>
      </c>
      <c r="B152" t="s">
        <v>409</v>
      </c>
      <c r="C152" s="4">
        <v>0</v>
      </c>
      <c r="D152" s="4">
        <v>81.822599999999994</v>
      </c>
    </row>
    <row r="153" spans="1:4" x14ac:dyDescent="0.2">
      <c r="A153" s="83">
        <v>251</v>
      </c>
      <c r="B153" t="s">
        <v>410</v>
      </c>
      <c r="C153" s="4">
        <v>0</v>
      </c>
      <c r="D153" s="4">
        <v>81.7791</v>
      </c>
    </row>
    <row r="154" spans="1:4" x14ac:dyDescent="0.2">
      <c r="A154" s="83">
        <v>252</v>
      </c>
      <c r="B154" t="s">
        <v>411</v>
      </c>
      <c r="C154" s="4">
        <v>0</v>
      </c>
      <c r="D154" s="4">
        <v>81.691000000000003</v>
      </c>
    </row>
    <row r="155" spans="1:4" x14ac:dyDescent="0.2">
      <c r="A155" s="83">
        <v>253</v>
      </c>
      <c r="B155" t="s">
        <v>412</v>
      </c>
      <c r="C155" s="4">
        <v>0</v>
      </c>
      <c r="D155" s="4">
        <v>81.558800000000005</v>
      </c>
    </row>
    <row r="156" spans="1:4" x14ac:dyDescent="0.2">
      <c r="A156" s="83">
        <v>254</v>
      </c>
      <c r="B156" t="s">
        <v>413</v>
      </c>
      <c r="C156" s="4">
        <v>0</v>
      </c>
      <c r="D156" s="4">
        <v>81.382999999999996</v>
      </c>
    </row>
    <row r="157" spans="1:4" x14ac:dyDescent="0.2">
      <c r="A157" s="83">
        <v>255</v>
      </c>
      <c r="B157" t="s">
        <v>414</v>
      </c>
      <c r="C157" s="4">
        <v>0</v>
      </c>
      <c r="D157" s="4">
        <v>81.164299999999997</v>
      </c>
    </row>
    <row r="158" spans="1:4" x14ac:dyDescent="0.2">
      <c r="A158" s="83">
        <v>256</v>
      </c>
      <c r="B158" t="s">
        <v>415</v>
      </c>
      <c r="C158" s="4">
        <v>0</v>
      </c>
      <c r="D158" s="4">
        <v>80.894300000000001</v>
      </c>
    </row>
    <row r="159" spans="1:4" x14ac:dyDescent="0.2">
      <c r="A159" s="83">
        <v>257</v>
      </c>
      <c r="B159" t="s">
        <v>416</v>
      </c>
      <c r="C159" s="4">
        <v>0</v>
      </c>
      <c r="D159" s="4">
        <v>80.574600000000004</v>
      </c>
    </row>
    <row r="160" spans="1:4" x14ac:dyDescent="0.2">
      <c r="A160" s="83">
        <v>258</v>
      </c>
      <c r="B160" t="s">
        <v>417</v>
      </c>
      <c r="C160" s="4">
        <v>0</v>
      </c>
      <c r="D160" s="4">
        <v>80.206800000000001</v>
      </c>
    </row>
    <row r="161" spans="1:4" x14ac:dyDescent="0.2">
      <c r="A161" s="83">
        <v>259</v>
      </c>
      <c r="B161" t="s">
        <v>418</v>
      </c>
      <c r="C161" s="4">
        <v>0</v>
      </c>
      <c r="D161" s="4">
        <v>79.792500000000004</v>
      </c>
    </row>
    <row r="162" spans="1:4" x14ac:dyDescent="0.2">
      <c r="A162" s="83">
        <v>260</v>
      </c>
      <c r="B162" t="s">
        <v>419</v>
      </c>
      <c r="C162" s="4">
        <v>0</v>
      </c>
      <c r="D162" s="4">
        <v>79.333799999999997</v>
      </c>
    </row>
    <row r="163" spans="1:4" x14ac:dyDescent="0.2">
      <c r="A163" s="83">
        <v>261</v>
      </c>
      <c r="B163" t="s">
        <v>420</v>
      </c>
      <c r="C163" s="4">
        <v>0</v>
      </c>
      <c r="D163" s="4">
        <v>78.874600000000001</v>
      </c>
    </row>
    <row r="164" spans="1:4" x14ac:dyDescent="0.2">
      <c r="A164" s="83">
        <v>262</v>
      </c>
      <c r="B164" t="s">
        <v>421</v>
      </c>
      <c r="C164" s="4">
        <v>0</v>
      </c>
      <c r="D164" s="4">
        <v>78.366900000000001</v>
      </c>
    </row>
    <row r="165" spans="1:4" x14ac:dyDescent="0.2">
      <c r="A165" s="83">
        <v>263</v>
      </c>
      <c r="B165" t="s">
        <v>422</v>
      </c>
      <c r="C165" s="4">
        <v>0</v>
      </c>
      <c r="D165" s="4">
        <v>77.813599999999994</v>
      </c>
    </row>
    <row r="166" spans="1:4" x14ac:dyDescent="0.2">
      <c r="A166" s="83">
        <v>264</v>
      </c>
      <c r="B166" t="s">
        <v>423</v>
      </c>
      <c r="C166" s="4">
        <v>0</v>
      </c>
      <c r="D166" s="4">
        <v>77.218000000000004</v>
      </c>
    </row>
    <row r="167" spans="1:4" x14ac:dyDescent="0.2">
      <c r="A167" s="83">
        <v>265</v>
      </c>
      <c r="B167" t="s">
        <v>424</v>
      </c>
      <c r="C167" s="4">
        <v>0</v>
      </c>
      <c r="D167" s="4">
        <v>76.583200000000005</v>
      </c>
    </row>
    <row r="168" spans="1:4" x14ac:dyDescent="0.2">
      <c r="A168" s="83">
        <v>266</v>
      </c>
      <c r="B168" t="s">
        <v>425</v>
      </c>
      <c r="C168" s="4">
        <v>0</v>
      </c>
      <c r="D168" s="4">
        <v>76.046599999999998</v>
      </c>
    </row>
    <row r="169" spans="1:4" x14ac:dyDescent="0.2">
      <c r="A169" s="83">
        <v>267</v>
      </c>
      <c r="B169" t="s">
        <v>426</v>
      </c>
      <c r="C169" s="4">
        <v>0</v>
      </c>
      <c r="D169" s="4">
        <v>75.458100000000002</v>
      </c>
    </row>
    <row r="170" spans="1:4" x14ac:dyDescent="0.2">
      <c r="A170" s="83">
        <v>268</v>
      </c>
      <c r="B170" t="s">
        <v>427</v>
      </c>
      <c r="C170" s="4">
        <v>0</v>
      </c>
      <c r="D170" s="4">
        <v>74.822999999999993</v>
      </c>
    </row>
    <row r="171" spans="1:4" x14ac:dyDescent="0.2">
      <c r="A171" s="83">
        <v>269</v>
      </c>
      <c r="B171" t="s">
        <v>428</v>
      </c>
      <c r="C171" s="4">
        <v>0</v>
      </c>
      <c r="D171" s="4">
        <v>74.146100000000004</v>
      </c>
    </row>
    <row r="172" spans="1:4" x14ac:dyDescent="0.2">
      <c r="A172" s="83">
        <v>270</v>
      </c>
      <c r="B172" t="s">
        <v>429</v>
      </c>
      <c r="C172" s="4">
        <v>0</v>
      </c>
      <c r="D172" s="4">
        <v>73.432100000000005</v>
      </c>
    </row>
    <row r="173" spans="1:4" x14ac:dyDescent="0.2">
      <c r="A173" s="83">
        <v>271</v>
      </c>
      <c r="B173" t="s">
        <v>430</v>
      </c>
      <c r="C173" s="4">
        <v>0</v>
      </c>
      <c r="D173" s="4">
        <v>73.029600000000002</v>
      </c>
    </row>
    <row r="174" spans="1:4" x14ac:dyDescent="0.2">
      <c r="A174" s="83">
        <v>272</v>
      </c>
      <c r="B174" t="s">
        <v>431</v>
      </c>
      <c r="C174" s="4">
        <v>0</v>
      </c>
      <c r="D174" s="4">
        <v>72.565399999999997</v>
      </c>
    </row>
    <row r="175" spans="1:4" x14ac:dyDescent="0.2">
      <c r="A175" s="83">
        <v>273</v>
      </c>
      <c r="B175" t="s">
        <v>432</v>
      </c>
      <c r="C175" s="4">
        <v>0</v>
      </c>
      <c r="D175" s="4">
        <v>72.046899999999994</v>
      </c>
    </row>
    <row r="176" spans="1:4" x14ac:dyDescent="0.2">
      <c r="A176" s="83">
        <v>274</v>
      </c>
      <c r="B176" t="s">
        <v>433</v>
      </c>
      <c r="C176" s="4">
        <v>0</v>
      </c>
      <c r="D176" s="4">
        <v>71.480800000000002</v>
      </c>
    </row>
    <row r="177" spans="1:4" x14ac:dyDescent="0.2">
      <c r="A177" s="83">
        <v>275</v>
      </c>
      <c r="B177" t="s">
        <v>434</v>
      </c>
      <c r="C177" s="4">
        <v>0</v>
      </c>
      <c r="D177" s="4">
        <v>70.8733</v>
      </c>
    </row>
    <row r="178" spans="1:4" x14ac:dyDescent="0.2">
      <c r="A178" s="83">
        <v>276</v>
      </c>
      <c r="B178" t="s">
        <v>435</v>
      </c>
      <c r="C178" s="4">
        <v>0</v>
      </c>
      <c r="D178" s="4">
        <v>70.730199999999996</v>
      </c>
    </row>
    <row r="179" spans="1:4" x14ac:dyDescent="0.2">
      <c r="A179" s="83">
        <v>277</v>
      </c>
      <c r="B179" t="s">
        <v>436</v>
      </c>
      <c r="C179" s="4">
        <v>0</v>
      </c>
      <c r="D179" s="4">
        <v>70.508700000000005</v>
      </c>
    </row>
    <row r="180" spans="1:4" x14ac:dyDescent="0.2">
      <c r="A180" s="83">
        <v>278</v>
      </c>
      <c r="B180" t="s">
        <v>437</v>
      </c>
      <c r="C180" s="4">
        <v>0</v>
      </c>
      <c r="D180" s="4">
        <v>70.218000000000004</v>
      </c>
    </row>
    <row r="181" spans="1:4" x14ac:dyDescent="0.2">
      <c r="A181" s="83">
        <v>279</v>
      </c>
      <c r="B181" t="s">
        <v>438</v>
      </c>
      <c r="C181" s="4">
        <v>0</v>
      </c>
      <c r="D181" s="4">
        <v>69.866200000000006</v>
      </c>
    </row>
    <row r="182" spans="1:4" x14ac:dyDescent="0.2">
      <c r="A182" s="83">
        <v>280</v>
      </c>
      <c r="B182" t="s">
        <v>439</v>
      </c>
      <c r="C182" s="4">
        <v>0</v>
      </c>
      <c r="D182" s="4">
        <v>69.460800000000006</v>
      </c>
    </row>
    <row r="183" spans="1:4" x14ac:dyDescent="0.2">
      <c r="A183" s="83">
        <v>281</v>
      </c>
      <c r="B183" t="s">
        <v>440</v>
      </c>
      <c r="C183" s="4">
        <v>0</v>
      </c>
      <c r="D183" s="4">
        <v>69.390799999999999</v>
      </c>
    </row>
    <row r="184" spans="1:4" x14ac:dyDescent="0.2">
      <c r="A184" s="83">
        <v>282</v>
      </c>
      <c r="B184" t="s">
        <v>441</v>
      </c>
      <c r="C184" s="4">
        <v>0</v>
      </c>
      <c r="D184" s="4">
        <v>69.242000000000004</v>
      </c>
    </row>
    <row r="185" spans="1:4" x14ac:dyDescent="0.2">
      <c r="A185" s="83">
        <v>283</v>
      </c>
      <c r="B185" t="s">
        <v>442</v>
      </c>
      <c r="C185" s="4">
        <v>0</v>
      </c>
      <c r="D185" s="4">
        <v>69.023499999999999</v>
      </c>
    </row>
    <row r="186" spans="1:4" x14ac:dyDescent="0.2">
      <c r="A186" s="83">
        <v>284</v>
      </c>
      <c r="B186" t="s">
        <v>443</v>
      </c>
      <c r="C186" s="4">
        <v>0</v>
      </c>
      <c r="D186" s="4">
        <v>68.743099999999998</v>
      </c>
    </row>
    <row r="187" spans="1:4" x14ac:dyDescent="0.2">
      <c r="A187" s="83">
        <v>285</v>
      </c>
      <c r="B187" t="s">
        <v>444</v>
      </c>
      <c r="C187" s="4">
        <v>0</v>
      </c>
      <c r="D187" s="4">
        <v>68.408000000000001</v>
      </c>
    </row>
    <row r="188" spans="1:4" x14ac:dyDescent="0.2">
      <c r="A188" s="83">
        <v>286</v>
      </c>
      <c r="B188" t="s">
        <v>445</v>
      </c>
      <c r="C188" s="4">
        <v>0</v>
      </c>
      <c r="D188" s="4">
        <v>68.709100000000007</v>
      </c>
    </row>
    <row r="189" spans="1:4" x14ac:dyDescent="0.2">
      <c r="A189" s="83">
        <v>287</v>
      </c>
      <c r="B189" t="s">
        <v>446</v>
      </c>
      <c r="C189" s="4">
        <v>0</v>
      </c>
      <c r="D189" s="4">
        <v>68.900899999999993</v>
      </c>
    </row>
    <row r="190" spans="1:4" x14ac:dyDescent="0.2">
      <c r="A190" s="83">
        <v>288</v>
      </c>
      <c r="B190" t="s">
        <v>447</v>
      </c>
      <c r="C190" s="4">
        <v>0</v>
      </c>
      <c r="D190" s="4">
        <v>68.992999999999995</v>
      </c>
    </row>
    <row r="191" spans="1:4" x14ac:dyDescent="0.2">
      <c r="A191" s="83">
        <v>289</v>
      </c>
      <c r="B191" t="s">
        <v>448</v>
      </c>
      <c r="C191" s="4">
        <v>0</v>
      </c>
      <c r="D191" s="4">
        <v>68.994399999999999</v>
      </c>
    </row>
    <row r="192" spans="1:4" x14ac:dyDescent="0.2">
      <c r="A192" s="83">
        <v>290</v>
      </c>
      <c r="B192" t="s">
        <v>449</v>
      </c>
      <c r="C192" s="4">
        <v>0</v>
      </c>
      <c r="D192" s="4">
        <v>68.913499999999999</v>
      </c>
    </row>
    <row r="193" spans="1:4" x14ac:dyDescent="0.2">
      <c r="A193" s="83">
        <v>291</v>
      </c>
      <c r="B193" t="s">
        <v>450</v>
      </c>
      <c r="C193" s="4">
        <v>0</v>
      </c>
      <c r="D193" s="4">
        <v>69.406199999999998</v>
      </c>
    </row>
    <row r="194" spans="1:4" x14ac:dyDescent="0.2">
      <c r="A194" s="83">
        <v>292</v>
      </c>
      <c r="B194" t="s">
        <v>451</v>
      </c>
      <c r="C194" s="4">
        <v>0</v>
      </c>
      <c r="D194" s="4">
        <v>69.832099999999997</v>
      </c>
    </row>
    <row r="195" spans="1:4" x14ac:dyDescent="0.2">
      <c r="A195" s="83">
        <v>293</v>
      </c>
      <c r="B195" t="s">
        <v>452</v>
      </c>
      <c r="C195" s="4">
        <v>0</v>
      </c>
      <c r="D195" s="4">
        <v>70.192499999999995</v>
      </c>
    </row>
    <row r="196" spans="1:4" x14ac:dyDescent="0.2">
      <c r="A196" s="83">
        <v>294</v>
      </c>
      <c r="B196" t="s">
        <v>453</v>
      </c>
      <c r="C196" s="4">
        <v>0</v>
      </c>
      <c r="D196" s="4">
        <v>70.488900000000001</v>
      </c>
    </row>
    <row r="197" spans="1:4" x14ac:dyDescent="0.2">
      <c r="A197" s="83">
        <v>295</v>
      </c>
      <c r="B197" t="s">
        <v>454</v>
      </c>
      <c r="C197" s="4">
        <v>0</v>
      </c>
      <c r="D197" s="4">
        <v>70.722999999999999</v>
      </c>
    </row>
    <row r="198" spans="1:4" x14ac:dyDescent="0.2">
      <c r="A198" s="83">
        <v>296</v>
      </c>
      <c r="B198" t="s">
        <v>455</v>
      </c>
      <c r="C198" s="4">
        <v>0</v>
      </c>
      <c r="D198" s="4">
        <v>71.052300000000002</v>
      </c>
    </row>
    <row r="199" spans="1:4" x14ac:dyDescent="0.2">
      <c r="A199" s="83">
        <v>297</v>
      </c>
      <c r="B199" t="s">
        <v>456</v>
      </c>
      <c r="C199" s="4">
        <v>0</v>
      </c>
      <c r="D199" s="4">
        <v>71.360399999999998</v>
      </c>
    </row>
    <row r="200" spans="1:4" x14ac:dyDescent="0.2">
      <c r="A200" s="83">
        <v>298</v>
      </c>
      <c r="B200" t="s">
        <v>457</v>
      </c>
      <c r="C200" s="4">
        <v>0</v>
      </c>
      <c r="D200" s="4">
        <v>71.646600000000007</v>
      </c>
    </row>
    <row r="201" spans="1:4" x14ac:dyDescent="0.2">
      <c r="A201" s="83">
        <v>299</v>
      </c>
      <c r="B201" t="s">
        <v>458</v>
      </c>
      <c r="C201" s="4">
        <v>0</v>
      </c>
      <c r="D201" s="4">
        <v>71.910499999999999</v>
      </c>
    </row>
    <row r="202" spans="1:4" x14ac:dyDescent="0.2">
      <c r="A202" s="83">
        <v>300</v>
      </c>
      <c r="B202" t="s">
        <v>459</v>
      </c>
      <c r="C202" s="4">
        <v>0</v>
      </c>
      <c r="D202" s="4">
        <v>72.151600000000002</v>
      </c>
    </row>
    <row r="203" spans="1:4" x14ac:dyDescent="0.2">
      <c r="A203" s="83">
        <v>301</v>
      </c>
      <c r="B203" t="s">
        <v>460</v>
      </c>
      <c r="C203" s="4">
        <v>0</v>
      </c>
      <c r="D203" s="4">
        <v>72.313599999999994</v>
      </c>
    </row>
    <row r="204" spans="1:4" x14ac:dyDescent="0.2">
      <c r="A204" s="83">
        <v>302</v>
      </c>
      <c r="B204" t="s">
        <v>461</v>
      </c>
      <c r="C204" s="4">
        <v>0</v>
      </c>
      <c r="D204" s="4">
        <v>72.470100000000002</v>
      </c>
    </row>
    <row r="205" spans="1:4" x14ac:dyDescent="0.2">
      <c r="A205" s="83">
        <v>303</v>
      </c>
      <c r="B205" t="s">
        <v>462</v>
      </c>
      <c r="C205" s="4">
        <v>0</v>
      </c>
      <c r="D205" s="4">
        <v>72.620900000000006</v>
      </c>
    </row>
    <row r="206" spans="1:4" x14ac:dyDescent="0.2">
      <c r="A206" s="83">
        <v>304</v>
      </c>
      <c r="B206" t="s">
        <v>463</v>
      </c>
      <c r="C206" s="4">
        <v>0</v>
      </c>
      <c r="D206" s="4">
        <v>72.765699999999995</v>
      </c>
    </row>
    <row r="207" spans="1:4" x14ac:dyDescent="0.2">
      <c r="A207" s="83">
        <v>305</v>
      </c>
      <c r="B207" t="s">
        <v>464</v>
      </c>
      <c r="C207" s="4">
        <v>0</v>
      </c>
      <c r="D207" s="4">
        <v>72.904300000000006</v>
      </c>
    </row>
    <row r="208" spans="1:4" x14ac:dyDescent="0.2">
      <c r="A208" s="83">
        <v>306</v>
      </c>
      <c r="B208" t="s">
        <v>465</v>
      </c>
      <c r="C208" s="4">
        <v>0</v>
      </c>
      <c r="D208" s="4">
        <v>72.936700000000002</v>
      </c>
    </row>
    <row r="209" spans="1:4" x14ac:dyDescent="0.2">
      <c r="A209" s="83">
        <v>307</v>
      </c>
      <c r="B209" t="s">
        <v>466</v>
      </c>
      <c r="C209" s="4">
        <v>0</v>
      </c>
      <c r="D209" s="4">
        <v>72.968100000000007</v>
      </c>
    </row>
    <row r="210" spans="1:4" x14ac:dyDescent="0.2">
      <c r="A210" s="83">
        <v>308</v>
      </c>
      <c r="B210" t="s">
        <v>467</v>
      </c>
      <c r="C210" s="4">
        <v>0</v>
      </c>
      <c r="D210" s="4">
        <v>72.998400000000004</v>
      </c>
    </row>
    <row r="211" spans="1:4" x14ac:dyDescent="0.2">
      <c r="A211" s="83">
        <v>309</v>
      </c>
      <c r="B211" t="s">
        <v>468</v>
      </c>
      <c r="C211" s="4">
        <v>0</v>
      </c>
      <c r="D211" s="4">
        <v>73.027600000000007</v>
      </c>
    </row>
    <row r="212" spans="1:4" x14ac:dyDescent="0.2">
      <c r="A212" s="83">
        <v>310</v>
      </c>
      <c r="B212" t="s">
        <v>469</v>
      </c>
      <c r="C212" s="4">
        <v>0</v>
      </c>
      <c r="D212" s="4">
        <v>73.055599999999998</v>
      </c>
    </row>
    <row r="213" spans="1:4" x14ac:dyDescent="0.2">
      <c r="A213" s="83">
        <v>311</v>
      </c>
      <c r="B213" t="s">
        <v>470</v>
      </c>
      <c r="C213" s="4">
        <v>0</v>
      </c>
      <c r="D213" s="4">
        <v>73.005399999999995</v>
      </c>
    </row>
    <row r="214" spans="1:4" x14ac:dyDescent="0.2">
      <c r="A214" s="83">
        <v>312</v>
      </c>
      <c r="B214" t="s">
        <v>471</v>
      </c>
      <c r="C214" s="4">
        <v>0</v>
      </c>
      <c r="D214" s="4">
        <v>72.955600000000004</v>
      </c>
    </row>
    <row r="215" spans="1:4" x14ac:dyDescent="0.2">
      <c r="A215" s="83">
        <v>313</v>
      </c>
      <c r="B215" t="s">
        <v>472</v>
      </c>
      <c r="C215" s="4">
        <v>0</v>
      </c>
      <c r="D215" s="4">
        <v>72.906199999999998</v>
      </c>
    </row>
    <row r="216" spans="1:4" x14ac:dyDescent="0.2">
      <c r="A216" s="83">
        <v>314</v>
      </c>
      <c r="B216" t="s">
        <v>473</v>
      </c>
      <c r="C216" s="4">
        <v>0</v>
      </c>
      <c r="D216" s="4">
        <v>72.856999999999999</v>
      </c>
    </row>
    <row r="217" spans="1:4" x14ac:dyDescent="0.2">
      <c r="A217" s="83">
        <v>315</v>
      </c>
      <c r="B217" t="s">
        <v>474</v>
      </c>
      <c r="C217" s="4">
        <v>0</v>
      </c>
      <c r="D217" s="4">
        <v>72.808000000000007</v>
      </c>
    </row>
    <row r="218" spans="1:4" x14ac:dyDescent="0.2">
      <c r="A218" s="83">
        <v>316</v>
      </c>
      <c r="B218" t="s">
        <v>475</v>
      </c>
      <c r="C218" s="4">
        <v>0</v>
      </c>
      <c r="D218" s="4">
        <v>72.704499999999996</v>
      </c>
    </row>
    <row r="219" spans="1:4" x14ac:dyDescent="0.2">
      <c r="A219" s="83">
        <v>317</v>
      </c>
      <c r="B219" t="s">
        <v>476</v>
      </c>
      <c r="C219" s="4">
        <v>0</v>
      </c>
      <c r="D219" s="4">
        <v>72.601799999999997</v>
      </c>
    </row>
    <row r="220" spans="1:4" x14ac:dyDescent="0.2">
      <c r="A220" s="83">
        <v>318</v>
      </c>
      <c r="B220" t="s">
        <v>477</v>
      </c>
      <c r="C220" s="4">
        <v>0</v>
      </c>
      <c r="D220" s="4">
        <v>72.499899999999997</v>
      </c>
    </row>
    <row r="221" spans="1:4" x14ac:dyDescent="0.2">
      <c r="A221" s="83">
        <v>319</v>
      </c>
      <c r="B221" t="s">
        <v>478</v>
      </c>
      <c r="C221" s="4">
        <v>0</v>
      </c>
      <c r="D221" s="4">
        <v>72.398899999999998</v>
      </c>
    </row>
    <row r="222" spans="1:4" x14ac:dyDescent="0.2">
      <c r="A222" s="83">
        <v>320</v>
      </c>
      <c r="B222" t="s">
        <v>479</v>
      </c>
      <c r="C222" s="4">
        <v>0</v>
      </c>
      <c r="D222" s="4">
        <v>72.298500000000004</v>
      </c>
    </row>
    <row r="223" spans="1:4" x14ac:dyDescent="0.2">
      <c r="A223" s="83">
        <v>321</v>
      </c>
      <c r="B223" t="s">
        <v>480</v>
      </c>
      <c r="C223" s="4">
        <v>0</v>
      </c>
      <c r="D223" s="4">
        <v>72.170400000000001</v>
      </c>
    </row>
    <row r="224" spans="1:4" x14ac:dyDescent="0.2">
      <c r="A224" s="83">
        <v>322</v>
      </c>
      <c r="B224" t="s">
        <v>481</v>
      </c>
      <c r="C224" s="4">
        <v>0</v>
      </c>
      <c r="D224" s="4">
        <v>72.043099999999995</v>
      </c>
    </row>
    <row r="225" spans="1:4" x14ac:dyDescent="0.2">
      <c r="A225" s="83">
        <v>323</v>
      </c>
      <c r="B225" t="s">
        <v>482</v>
      </c>
      <c r="C225" s="4">
        <v>0</v>
      </c>
      <c r="D225" s="4">
        <v>71.916600000000003</v>
      </c>
    </row>
    <row r="226" spans="1:4" x14ac:dyDescent="0.2">
      <c r="A226" s="83">
        <v>324</v>
      </c>
      <c r="B226" t="s">
        <v>483</v>
      </c>
      <c r="C226" s="4">
        <v>0</v>
      </c>
      <c r="D226" s="4">
        <v>71.790999999999997</v>
      </c>
    </row>
    <row r="227" spans="1:4" x14ac:dyDescent="0.2">
      <c r="A227" s="83">
        <v>325</v>
      </c>
      <c r="B227" t="s">
        <v>484</v>
      </c>
      <c r="C227" s="4">
        <v>0</v>
      </c>
      <c r="D227" s="4">
        <v>71.666200000000003</v>
      </c>
    </row>
    <row r="228" spans="1:4" x14ac:dyDescent="0.2">
      <c r="A228" s="83">
        <v>326</v>
      </c>
      <c r="B228" t="s">
        <v>485</v>
      </c>
      <c r="C228" s="4">
        <v>0</v>
      </c>
      <c r="D228" s="4">
        <v>71.510099999999994</v>
      </c>
    </row>
    <row r="229" spans="1:4" x14ac:dyDescent="0.2">
      <c r="A229" s="83">
        <v>327</v>
      </c>
      <c r="B229" t="s">
        <v>486</v>
      </c>
      <c r="C229" s="4">
        <v>0</v>
      </c>
      <c r="D229" s="4">
        <v>71.355000000000004</v>
      </c>
    </row>
    <row r="230" spans="1:4" x14ac:dyDescent="0.2">
      <c r="A230" s="83">
        <v>328</v>
      </c>
      <c r="B230" t="s">
        <v>487</v>
      </c>
      <c r="C230" s="4">
        <v>0</v>
      </c>
      <c r="D230" s="4">
        <v>71.200900000000004</v>
      </c>
    </row>
    <row r="231" spans="1:4" x14ac:dyDescent="0.2">
      <c r="A231" s="83">
        <v>329</v>
      </c>
      <c r="B231" t="s">
        <v>488</v>
      </c>
      <c r="C231" s="4">
        <v>0</v>
      </c>
      <c r="D231" s="4">
        <v>71.047799999999995</v>
      </c>
    </row>
    <row r="232" spans="1:4" x14ac:dyDescent="0.2">
      <c r="A232" s="83">
        <v>330</v>
      </c>
      <c r="B232" t="s">
        <v>489</v>
      </c>
      <c r="C232" s="4">
        <v>0</v>
      </c>
      <c r="D232" s="4">
        <v>70.895700000000005</v>
      </c>
    </row>
    <row r="233" spans="1:4" x14ac:dyDescent="0.2">
      <c r="A233" s="83">
        <v>331</v>
      </c>
      <c r="B233" t="s">
        <v>490</v>
      </c>
      <c r="C233" s="4">
        <v>0</v>
      </c>
      <c r="D233" s="4">
        <v>70.715299999999999</v>
      </c>
    </row>
    <row r="234" spans="1:4" x14ac:dyDescent="0.2">
      <c r="A234" s="83">
        <v>332</v>
      </c>
      <c r="B234" t="s">
        <v>491</v>
      </c>
      <c r="C234" s="4">
        <v>0</v>
      </c>
      <c r="D234" s="4">
        <v>70.536100000000005</v>
      </c>
    </row>
    <row r="235" spans="1:4" x14ac:dyDescent="0.2">
      <c r="A235" s="83">
        <v>333</v>
      </c>
      <c r="B235" t="s">
        <v>492</v>
      </c>
      <c r="C235" s="4">
        <v>0</v>
      </c>
      <c r="D235" s="4">
        <v>70.357900000000001</v>
      </c>
    </row>
    <row r="236" spans="1:4" x14ac:dyDescent="0.2">
      <c r="A236" s="83">
        <v>334</v>
      </c>
      <c r="B236" t="s">
        <v>493</v>
      </c>
      <c r="C236" s="4">
        <v>0</v>
      </c>
      <c r="D236" s="4">
        <v>70.180899999999994</v>
      </c>
    </row>
    <row r="237" spans="1:4" x14ac:dyDescent="0.2">
      <c r="A237" s="83">
        <v>335</v>
      </c>
      <c r="B237" t="s">
        <v>494</v>
      </c>
      <c r="C237" s="4">
        <v>0</v>
      </c>
      <c r="D237" s="4">
        <v>70.004900000000006</v>
      </c>
    </row>
    <row r="238" spans="1:4" x14ac:dyDescent="0.2">
      <c r="A238" s="83">
        <v>336</v>
      </c>
      <c r="B238" t="s">
        <v>495</v>
      </c>
      <c r="C238" s="4">
        <v>0</v>
      </c>
      <c r="D238" s="4">
        <v>69.799199999999999</v>
      </c>
    </row>
    <row r="239" spans="1:4" x14ac:dyDescent="0.2">
      <c r="A239" s="83">
        <v>337</v>
      </c>
      <c r="B239" t="s">
        <v>496</v>
      </c>
      <c r="C239" s="4">
        <v>0</v>
      </c>
      <c r="D239" s="4">
        <v>69.594700000000003</v>
      </c>
    </row>
    <row r="240" spans="1:4" x14ac:dyDescent="0.2">
      <c r="A240" s="83">
        <v>338</v>
      </c>
      <c r="B240" t="s">
        <v>497</v>
      </c>
      <c r="C240" s="4">
        <v>0</v>
      </c>
      <c r="D240" s="4">
        <v>69.391499999999994</v>
      </c>
    </row>
    <row r="241" spans="1:4" x14ac:dyDescent="0.2">
      <c r="A241" s="83">
        <v>339</v>
      </c>
      <c r="B241" t="s">
        <v>498</v>
      </c>
      <c r="C241" s="4">
        <v>0</v>
      </c>
      <c r="D241" s="4">
        <v>69.189599999999999</v>
      </c>
    </row>
    <row r="242" spans="1:4" x14ac:dyDescent="0.2">
      <c r="A242" s="83">
        <v>340</v>
      </c>
      <c r="B242" t="s">
        <v>499</v>
      </c>
      <c r="C242" s="4">
        <v>0</v>
      </c>
      <c r="D242" s="4">
        <v>68.988799999999998</v>
      </c>
    </row>
    <row r="243" spans="1:4" x14ac:dyDescent="0.2">
      <c r="A243" s="83">
        <v>341</v>
      </c>
      <c r="B243" t="s">
        <v>500</v>
      </c>
      <c r="C243" s="4">
        <v>0</v>
      </c>
      <c r="D243" s="4">
        <v>68.758899999999997</v>
      </c>
    </row>
    <row r="244" spans="1:4" x14ac:dyDescent="0.2">
      <c r="A244" s="83">
        <v>342</v>
      </c>
      <c r="B244" t="s">
        <v>501</v>
      </c>
      <c r="C244" s="4">
        <v>0</v>
      </c>
      <c r="D244" s="4">
        <v>68.530299999999997</v>
      </c>
    </row>
    <row r="245" spans="1:4" x14ac:dyDescent="0.2">
      <c r="A245" s="83">
        <v>343</v>
      </c>
      <c r="B245" t="s">
        <v>502</v>
      </c>
      <c r="C245" s="4">
        <v>0</v>
      </c>
      <c r="D245" s="4">
        <v>68.302999999999997</v>
      </c>
    </row>
    <row r="246" spans="1:4" x14ac:dyDescent="0.2">
      <c r="A246" s="83">
        <v>344</v>
      </c>
      <c r="B246" t="s">
        <v>503</v>
      </c>
      <c r="C246" s="4">
        <v>0</v>
      </c>
      <c r="D246" s="4">
        <v>68.077100000000002</v>
      </c>
    </row>
    <row r="247" spans="1:4" x14ac:dyDescent="0.2">
      <c r="A247" s="83">
        <v>345</v>
      </c>
      <c r="B247" t="s">
        <v>504</v>
      </c>
      <c r="C247" s="4">
        <v>0</v>
      </c>
      <c r="D247" s="4">
        <v>67.852500000000006</v>
      </c>
    </row>
    <row r="248" spans="1:4" x14ac:dyDescent="0.2">
      <c r="A248" s="83">
        <v>346</v>
      </c>
      <c r="B248" t="s">
        <v>505</v>
      </c>
      <c r="C248" s="4">
        <v>0</v>
      </c>
      <c r="D248" s="4">
        <v>67.571799999999996</v>
      </c>
    </row>
    <row r="249" spans="1:4" x14ac:dyDescent="0.2">
      <c r="A249" s="83">
        <v>347</v>
      </c>
      <c r="B249" t="s">
        <v>506</v>
      </c>
      <c r="C249" s="4">
        <v>0</v>
      </c>
      <c r="D249" s="4">
        <v>67.292900000000003</v>
      </c>
    </row>
    <row r="250" spans="1:4" x14ac:dyDescent="0.2">
      <c r="A250" s="83">
        <v>348</v>
      </c>
      <c r="B250" t="s">
        <v>507</v>
      </c>
      <c r="C250" s="4">
        <v>0</v>
      </c>
      <c r="D250" s="4">
        <v>67.015799999999999</v>
      </c>
    </row>
    <row r="251" spans="1:4" x14ac:dyDescent="0.2">
      <c r="A251" s="83">
        <v>349</v>
      </c>
      <c r="B251" t="s">
        <v>508</v>
      </c>
      <c r="C251" s="4">
        <v>0</v>
      </c>
      <c r="D251" s="4">
        <v>66.740399999999994</v>
      </c>
    </row>
    <row r="252" spans="1:4" x14ac:dyDescent="0.2">
      <c r="A252" s="83">
        <v>350</v>
      </c>
      <c r="B252" t="s">
        <v>509</v>
      </c>
      <c r="C252" s="4">
        <v>0</v>
      </c>
      <c r="D252" s="4">
        <v>66.466800000000006</v>
      </c>
    </row>
    <row r="253" spans="1:4" x14ac:dyDescent="0.2">
      <c r="A253" s="83">
        <v>351</v>
      </c>
      <c r="B253" t="s">
        <v>510</v>
      </c>
      <c r="C253" s="4">
        <v>0</v>
      </c>
      <c r="D253" s="4">
        <v>66.083200000000005</v>
      </c>
    </row>
    <row r="254" spans="1:4" x14ac:dyDescent="0.2">
      <c r="A254" s="83">
        <v>352</v>
      </c>
      <c r="B254" t="s">
        <v>511</v>
      </c>
      <c r="C254" s="4">
        <v>0</v>
      </c>
      <c r="D254" s="4">
        <v>65.702699999999993</v>
      </c>
    </row>
    <row r="255" spans="1:4" x14ac:dyDescent="0.2">
      <c r="A255" s="83">
        <v>353</v>
      </c>
      <c r="B255" t="s">
        <v>512</v>
      </c>
      <c r="C255" s="4">
        <v>0</v>
      </c>
      <c r="D255" s="4">
        <v>65.325000000000003</v>
      </c>
    </row>
    <row r="256" spans="1:4" x14ac:dyDescent="0.2">
      <c r="A256" s="83">
        <v>354</v>
      </c>
      <c r="B256" t="s">
        <v>513</v>
      </c>
      <c r="C256" s="4">
        <v>0</v>
      </c>
      <c r="D256" s="4">
        <v>64.950299999999999</v>
      </c>
    </row>
    <row r="257" spans="1:4" x14ac:dyDescent="0.2">
      <c r="A257" s="83">
        <v>355</v>
      </c>
      <c r="B257" t="s">
        <v>514</v>
      </c>
      <c r="C257" s="4">
        <v>0</v>
      </c>
      <c r="D257" s="4">
        <v>64.578599999999994</v>
      </c>
    </row>
    <row r="258" spans="1:4" x14ac:dyDescent="0.2">
      <c r="A258" s="83">
        <v>356</v>
      </c>
      <c r="B258" t="s">
        <v>515</v>
      </c>
      <c r="C258" s="4">
        <v>0</v>
      </c>
      <c r="D258" s="4">
        <v>64.049899999999994</v>
      </c>
    </row>
    <row r="259" spans="1:4" x14ac:dyDescent="0.2">
      <c r="A259" s="83">
        <v>357</v>
      </c>
      <c r="B259" t="s">
        <v>516</v>
      </c>
      <c r="C259" s="4">
        <v>0</v>
      </c>
      <c r="D259" s="4">
        <v>63.526299999999999</v>
      </c>
    </row>
    <row r="260" spans="1:4" x14ac:dyDescent="0.2">
      <c r="A260" s="83">
        <v>358</v>
      </c>
      <c r="B260" t="s">
        <v>517</v>
      </c>
      <c r="C260" s="4">
        <v>0</v>
      </c>
      <c r="D260" s="4">
        <v>63.0077</v>
      </c>
    </row>
    <row r="261" spans="1:4" x14ac:dyDescent="0.2">
      <c r="A261" s="83">
        <v>359</v>
      </c>
      <c r="B261" t="s">
        <v>518</v>
      </c>
      <c r="C261" s="4">
        <v>0</v>
      </c>
      <c r="D261" s="4">
        <v>62.494199999999999</v>
      </c>
    </row>
    <row r="262" spans="1:4" x14ac:dyDescent="0.2">
      <c r="A262" s="83">
        <v>360</v>
      </c>
      <c r="B262" t="s">
        <v>519</v>
      </c>
      <c r="C262" s="4">
        <v>0</v>
      </c>
      <c r="D262" s="4">
        <v>61.985700000000001</v>
      </c>
    </row>
    <row r="263" spans="1:4" x14ac:dyDescent="0.2">
      <c r="A263" s="83">
        <v>361</v>
      </c>
      <c r="B263" t="s">
        <v>520</v>
      </c>
      <c r="C263" s="4">
        <v>0</v>
      </c>
      <c r="D263" s="4">
        <v>61.479799999999997</v>
      </c>
    </row>
    <row r="264" spans="1:4" x14ac:dyDescent="0.2">
      <c r="A264" s="83">
        <v>362</v>
      </c>
      <c r="B264" t="s">
        <v>521</v>
      </c>
      <c r="C264" s="4">
        <v>0</v>
      </c>
      <c r="D264" s="4">
        <v>60.969099999999997</v>
      </c>
    </row>
    <row r="265" spans="1:4" x14ac:dyDescent="0.2">
      <c r="A265" s="83">
        <v>363</v>
      </c>
      <c r="B265" t="s">
        <v>522</v>
      </c>
      <c r="C265" s="4">
        <v>0</v>
      </c>
      <c r="D265" s="4">
        <v>60.454300000000003</v>
      </c>
    </row>
    <row r="266" spans="1:4" x14ac:dyDescent="0.2">
      <c r="A266" s="83">
        <v>364</v>
      </c>
      <c r="B266" t="s">
        <v>523</v>
      </c>
      <c r="C266" s="4">
        <v>0</v>
      </c>
      <c r="D266" s="4">
        <v>59.936500000000002</v>
      </c>
    </row>
    <row r="267" spans="1:4" x14ac:dyDescent="0.2">
      <c r="A267" s="83">
        <v>365</v>
      </c>
      <c r="B267" t="s">
        <v>524</v>
      </c>
      <c r="C267" s="4">
        <v>0</v>
      </c>
      <c r="D267" s="4">
        <v>59.4163</v>
      </c>
    </row>
    <row r="268" spans="1:4" x14ac:dyDescent="0.2">
      <c r="A268" s="83">
        <v>366</v>
      </c>
      <c r="B268" t="s">
        <v>525</v>
      </c>
      <c r="C268" s="4">
        <v>0</v>
      </c>
      <c r="D268" s="4">
        <v>59.196599999999997</v>
      </c>
    </row>
    <row r="269" spans="1:4" x14ac:dyDescent="0.2">
      <c r="A269" s="83">
        <v>367</v>
      </c>
      <c r="B269" t="s">
        <v>526</v>
      </c>
      <c r="C269" s="4">
        <v>0</v>
      </c>
      <c r="D269" s="4">
        <v>58.9482</v>
      </c>
    </row>
    <row r="270" spans="1:4" x14ac:dyDescent="0.2">
      <c r="A270" s="83">
        <v>368</v>
      </c>
      <c r="B270" t="s">
        <v>527</v>
      </c>
      <c r="C270" s="4">
        <v>0</v>
      </c>
      <c r="D270" s="4">
        <v>58.672800000000002</v>
      </c>
    </row>
    <row r="271" spans="1:4" x14ac:dyDescent="0.2">
      <c r="A271" s="83">
        <v>369</v>
      </c>
      <c r="B271" t="s">
        <v>528</v>
      </c>
      <c r="C271" s="4">
        <v>0</v>
      </c>
      <c r="D271" s="4">
        <v>58.3718</v>
      </c>
    </row>
    <row r="272" spans="1:4" x14ac:dyDescent="0.2">
      <c r="A272" s="83">
        <v>370</v>
      </c>
      <c r="B272" t="s">
        <v>529</v>
      </c>
      <c r="C272" s="4">
        <v>0</v>
      </c>
      <c r="D272" s="4">
        <v>58.046799999999998</v>
      </c>
    </row>
    <row r="273" spans="1:4" x14ac:dyDescent="0.2">
      <c r="A273" s="83">
        <v>371</v>
      </c>
      <c r="B273" t="s">
        <v>530</v>
      </c>
      <c r="C273" s="4">
        <v>0</v>
      </c>
      <c r="D273" s="4">
        <v>58.135800000000003</v>
      </c>
    </row>
    <row r="274" spans="1:4" x14ac:dyDescent="0.2">
      <c r="A274" s="83">
        <v>372</v>
      </c>
      <c r="B274" t="s">
        <v>531</v>
      </c>
      <c r="C274" s="4">
        <v>0</v>
      </c>
      <c r="D274" s="4">
        <v>58.195599999999999</v>
      </c>
    </row>
    <row r="275" spans="1:4" x14ac:dyDescent="0.2">
      <c r="A275" s="83">
        <v>373</v>
      </c>
      <c r="B275" t="s">
        <v>532</v>
      </c>
      <c r="C275" s="4">
        <v>0</v>
      </c>
      <c r="D275" s="4">
        <v>58.2254</v>
      </c>
    </row>
    <row r="276" spans="1:4" x14ac:dyDescent="0.2">
      <c r="A276" s="83">
        <v>374</v>
      </c>
      <c r="B276" t="s">
        <v>533</v>
      </c>
      <c r="C276" s="4">
        <v>0</v>
      </c>
      <c r="D276" s="4">
        <v>58.225099999999998</v>
      </c>
    </row>
    <row r="277" spans="1:4" x14ac:dyDescent="0.2">
      <c r="A277" s="83">
        <v>375</v>
      </c>
      <c r="B277" t="s">
        <v>534</v>
      </c>
      <c r="C277" s="4">
        <v>0</v>
      </c>
      <c r="D277" s="4">
        <v>58.194099999999999</v>
      </c>
    </row>
    <row r="278" spans="1:4" x14ac:dyDescent="0.2">
      <c r="A278" s="83">
        <v>376</v>
      </c>
      <c r="B278" t="s">
        <v>535</v>
      </c>
      <c r="C278" s="4">
        <v>0</v>
      </c>
      <c r="D278" s="4">
        <v>58.442700000000002</v>
      </c>
    </row>
    <row r="279" spans="1:4" x14ac:dyDescent="0.2">
      <c r="A279" s="83">
        <v>377</v>
      </c>
      <c r="B279" t="s">
        <v>536</v>
      </c>
      <c r="C279" s="4">
        <v>0</v>
      </c>
      <c r="D279" s="4">
        <v>58.679400000000001</v>
      </c>
    </row>
    <row r="280" spans="1:4" x14ac:dyDescent="0.2">
      <c r="A280" s="83">
        <v>378</v>
      </c>
      <c r="B280" t="s">
        <v>537</v>
      </c>
      <c r="C280" s="4">
        <v>0</v>
      </c>
      <c r="D280" s="4">
        <v>58.903300000000002</v>
      </c>
    </row>
    <row r="281" spans="1:4" x14ac:dyDescent="0.2">
      <c r="A281" s="83">
        <v>379</v>
      </c>
      <c r="B281" t="s">
        <v>538</v>
      </c>
      <c r="C281" s="4">
        <v>0</v>
      </c>
      <c r="D281" s="4">
        <v>59.113300000000002</v>
      </c>
    </row>
    <row r="282" spans="1:4" x14ac:dyDescent="0.2">
      <c r="A282" s="83">
        <v>380</v>
      </c>
      <c r="B282" t="s">
        <v>539</v>
      </c>
      <c r="C282" s="4">
        <v>0</v>
      </c>
      <c r="D282" s="4">
        <v>59.308700000000002</v>
      </c>
    </row>
    <row r="283" spans="1:4" x14ac:dyDescent="0.2">
      <c r="A283" s="83">
        <v>381</v>
      </c>
      <c r="B283" t="s">
        <v>540</v>
      </c>
      <c r="C283" s="4">
        <v>0</v>
      </c>
      <c r="D283" s="4">
        <v>59.567399999999999</v>
      </c>
    </row>
    <row r="284" spans="1:4" x14ac:dyDescent="0.2">
      <c r="A284" s="83">
        <v>382</v>
      </c>
      <c r="B284" t="s">
        <v>541</v>
      </c>
      <c r="C284" s="4">
        <v>0</v>
      </c>
      <c r="D284" s="4">
        <v>59.824800000000003</v>
      </c>
    </row>
    <row r="285" spans="1:4" x14ac:dyDescent="0.2">
      <c r="A285" s="83">
        <v>383</v>
      </c>
      <c r="B285" t="s">
        <v>542</v>
      </c>
      <c r="C285" s="4">
        <v>0</v>
      </c>
      <c r="D285" s="4">
        <v>60.080599999999997</v>
      </c>
    </row>
    <row r="286" spans="1:4" x14ac:dyDescent="0.2">
      <c r="A286" s="83">
        <v>384</v>
      </c>
      <c r="B286" t="s">
        <v>543</v>
      </c>
      <c r="C286" s="4">
        <v>0</v>
      </c>
      <c r="D286" s="4">
        <v>60.334600000000002</v>
      </c>
    </row>
    <row r="287" spans="1:4" x14ac:dyDescent="0.2">
      <c r="A287" s="83">
        <v>385</v>
      </c>
      <c r="B287" t="s">
        <v>544</v>
      </c>
      <c r="C287" s="4">
        <v>0</v>
      </c>
      <c r="D287" s="4">
        <v>60.586300000000001</v>
      </c>
    </row>
    <row r="288" spans="1:4" x14ac:dyDescent="0.2">
      <c r="A288" s="83">
        <v>386</v>
      </c>
      <c r="B288" t="s">
        <v>545</v>
      </c>
      <c r="C288" s="4">
        <v>0</v>
      </c>
      <c r="D288" s="4">
        <v>60.786999999999999</v>
      </c>
    </row>
    <row r="289" spans="1:4" x14ac:dyDescent="0.2">
      <c r="A289" s="83">
        <v>387</v>
      </c>
      <c r="B289" t="s">
        <v>546</v>
      </c>
      <c r="C289" s="4">
        <v>0</v>
      </c>
      <c r="D289" s="4">
        <v>60.988700000000001</v>
      </c>
    </row>
    <row r="290" spans="1:4" x14ac:dyDescent="0.2">
      <c r="A290" s="83">
        <v>388</v>
      </c>
      <c r="B290" t="s">
        <v>547</v>
      </c>
      <c r="C290" s="4">
        <v>0</v>
      </c>
      <c r="D290" s="4">
        <v>61.191299999999998</v>
      </c>
    </row>
    <row r="291" spans="1:4" x14ac:dyDescent="0.2">
      <c r="A291" s="83">
        <v>389</v>
      </c>
      <c r="B291" t="s">
        <v>548</v>
      </c>
      <c r="C291" s="4">
        <v>0</v>
      </c>
      <c r="D291" s="4">
        <v>61.3947</v>
      </c>
    </row>
    <row r="292" spans="1:4" x14ac:dyDescent="0.2">
      <c r="A292" s="83">
        <v>390</v>
      </c>
      <c r="B292" t="s">
        <v>549</v>
      </c>
      <c r="C292" s="4">
        <v>0</v>
      </c>
      <c r="D292" s="4">
        <v>61.598799999999997</v>
      </c>
    </row>
    <row r="293" spans="1:4" x14ac:dyDescent="0.2">
      <c r="A293" s="83">
        <v>391</v>
      </c>
      <c r="B293" t="s">
        <v>550</v>
      </c>
      <c r="C293" s="4">
        <v>0</v>
      </c>
      <c r="D293" s="4">
        <v>61.752400000000002</v>
      </c>
    </row>
    <row r="294" spans="1:4" x14ac:dyDescent="0.2">
      <c r="A294" s="83">
        <v>392</v>
      </c>
      <c r="B294" t="s">
        <v>551</v>
      </c>
      <c r="C294" s="4">
        <v>0</v>
      </c>
      <c r="D294" s="4">
        <v>61.9071</v>
      </c>
    </row>
    <row r="295" spans="1:4" x14ac:dyDescent="0.2">
      <c r="A295" s="83">
        <v>393</v>
      </c>
      <c r="B295" t="s">
        <v>552</v>
      </c>
      <c r="C295" s="4">
        <v>0</v>
      </c>
      <c r="D295" s="4">
        <v>62.062800000000003</v>
      </c>
    </row>
    <row r="296" spans="1:4" x14ac:dyDescent="0.2">
      <c r="A296" s="83">
        <v>394</v>
      </c>
      <c r="B296" t="s">
        <v>553</v>
      </c>
      <c r="C296" s="4">
        <v>0</v>
      </c>
      <c r="D296" s="4">
        <v>62.219700000000003</v>
      </c>
    </row>
    <row r="297" spans="1:4" x14ac:dyDescent="0.2">
      <c r="A297" s="83">
        <v>395</v>
      </c>
      <c r="B297" t="s">
        <v>554</v>
      </c>
      <c r="C297" s="4">
        <v>0</v>
      </c>
      <c r="D297" s="4">
        <v>62.377499999999998</v>
      </c>
    </row>
    <row r="298" spans="1:4" x14ac:dyDescent="0.2">
      <c r="A298" s="83">
        <v>396</v>
      </c>
      <c r="B298" t="s">
        <v>555</v>
      </c>
      <c r="C298" s="4">
        <v>0</v>
      </c>
      <c r="D298" s="4">
        <v>62.505499999999998</v>
      </c>
    </row>
    <row r="299" spans="1:4" x14ac:dyDescent="0.2">
      <c r="A299" s="83">
        <v>397</v>
      </c>
      <c r="B299" t="s">
        <v>556</v>
      </c>
      <c r="C299" s="4">
        <v>0</v>
      </c>
      <c r="D299" s="4">
        <v>62.634599999999999</v>
      </c>
    </row>
    <row r="300" spans="1:4" x14ac:dyDescent="0.2">
      <c r="A300" s="83">
        <v>398</v>
      </c>
      <c r="B300" t="s">
        <v>557</v>
      </c>
      <c r="C300" s="4">
        <v>0</v>
      </c>
      <c r="D300" s="4">
        <v>62.764899999999997</v>
      </c>
    </row>
    <row r="301" spans="1:4" x14ac:dyDescent="0.2">
      <c r="A301" s="83">
        <v>399</v>
      </c>
      <c r="B301" t="s">
        <v>558</v>
      </c>
      <c r="C301" s="4">
        <v>0</v>
      </c>
      <c r="D301" s="4">
        <v>62.8962</v>
      </c>
    </row>
    <row r="302" spans="1:4" x14ac:dyDescent="0.2">
      <c r="A302" s="83">
        <v>400</v>
      </c>
      <c r="B302" t="s">
        <v>559</v>
      </c>
      <c r="C302" s="4">
        <v>0</v>
      </c>
      <c r="D302" s="4">
        <v>63.028500000000001</v>
      </c>
    </row>
    <row r="303" spans="1:4" x14ac:dyDescent="0.2">
      <c r="A303" s="83">
        <v>401</v>
      </c>
      <c r="B303" t="s">
        <v>560</v>
      </c>
      <c r="C303" s="4">
        <v>0</v>
      </c>
      <c r="D303" s="4">
        <v>63.143300000000004</v>
      </c>
    </row>
    <row r="304" spans="1:4" x14ac:dyDescent="0.2">
      <c r="A304" s="83">
        <v>402</v>
      </c>
      <c r="B304" t="s">
        <v>561</v>
      </c>
      <c r="C304" s="4">
        <v>0</v>
      </c>
      <c r="D304" s="4">
        <v>63.2592</v>
      </c>
    </row>
    <row r="305" spans="1:4" x14ac:dyDescent="0.2">
      <c r="A305" s="83">
        <v>403</v>
      </c>
      <c r="B305" t="s">
        <v>562</v>
      </c>
      <c r="C305" s="4">
        <v>0</v>
      </c>
      <c r="D305" s="4">
        <v>63.376199999999997</v>
      </c>
    </row>
    <row r="306" spans="1:4" x14ac:dyDescent="0.2">
      <c r="A306" s="83">
        <v>404</v>
      </c>
      <c r="B306" t="s">
        <v>563</v>
      </c>
      <c r="C306" s="4">
        <v>0</v>
      </c>
      <c r="D306" s="4">
        <v>63.494199999999999</v>
      </c>
    </row>
    <row r="307" spans="1:4" x14ac:dyDescent="0.2">
      <c r="A307" s="83">
        <v>405</v>
      </c>
      <c r="B307" t="s">
        <v>564</v>
      </c>
      <c r="C307" s="4">
        <v>0</v>
      </c>
      <c r="D307" s="4">
        <v>63.613300000000002</v>
      </c>
    </row>
    <row r="308" spans="1:4" x14ac:dyDescent="0.2">
      <c r="A308" s="83">
        <v>406</v>
      </c>
      <c r="B308" t="s">
        <v>565</v>
      </c>
      <c r="C308" s="4">
        <v>0</v>
      </c>
      <c r="D308" s="4">
        <v>63.7166</v>
      </c>
    </row>
    <row r="309" spans="1:4" x14ac:dyDescent="0.2">
      <c r="A309" s="83">
        <v>407</v>
      </c>
      <c r="B309" t="s">
        <v>566</v>
      </c>
      <c r="C309" s="4">
        <v>0</v>
      </c>
      <c r="D309" s="4">
        <v>63.820900000000002</v>
      </c>
    </row>
    <row r="310" spans="1:4" x14ac:dyDescent="0.2">
      <c r="A310" s="83">
        <v>408</v>
      </c>
      <c r="B310" t="s">
        <v>567</v>
      </c>
      <c r="C310" s="4">
        <v>0</v>
      </c>
      <c r="D310" s="4">
        <v>63.926400000000001</v>
      </c>
    </row>
    <row r="311" spans="1:4" x14ac:dyDescent="0.2">
      <c r="A311" s="83">
        <v>409</v>
      </c>
      <c r="B311" t="s">
        <v>568</v>
      </c>
      <c r="C311" s="4">
        <v>0</v>
      </c>
      <c r="D311" s="4">
        <v>64.032899999999998</v>
      </c>
    </row>
    <row r="312" spans="1:4" x14ac:dyDescent="0.2">
      <c r="A312" s="83">
        <v>410</v>
      </c>
      <c r="B312" t="s">
        <v>569</v>
      </c>
      <c r="C312" s="4">
        <v>0</v>
      </c>
      <c r="D312" s="4">
        <v>64.1404</v>
      </c>
    </row>
    <row r="313" spans="1:4" x14ac:dyDescent="0.2">
      <c r="A313" s="83">
        <v>411</v>
      </c>
      <c r="B313" t="s">
        <v>570</v>
      </c>
      <c r="C313" s="4">
        <v>0</v>
      </c>
      <c r="D313" s="4">
        <v>64.233599999999996</v>
      </c>
    </row>
    <row r="314" spans="1:4" x14ac:dyDescent="0.2">
      <c r="A314" s="83">
        <v>412</v>
      </c>
      <c r="B314" t="s">
        <v>571</v>
      </c>
      <c r="C314" s="4">
        <v>0</v>
      </c>
      <c r="D314" s="4">
        <v>64.327799999999996</v>
      </c>
    </row>
    <row r="315" spans="1:4" x14ac:dyDescent="0.2">
      <c r="A315" s="83">
        <v>413</v>
      </c>
      <c r="B315" t="s">
        <v>572</v>
      </c>
      <c r="C315" s="4">
        <v>0</v>
      </c>
      <c r="D315" s="4">
        <v>64.423000000000002</v>
      </c>
    </row>
    <row r="316" spans="1:4" x14ac:dyDescent="0.2">
      <c r="A316" s="83">
        <v>414</v>
      </c>
      <c r="B316" t="s">
        <v>573</v>
      </c>
      <c r="C316" s="4">
        <v>0</v>
      </c>
      <c r="D316" s="4">
        <v>64.519199999999998</v>
      </c>
    </row>
    <row r="317" spans="1:4" x14ac:dyDescent="0.2">
      <c r="A317" s="83">
        <v>415</v>
      </c>
      <c r="B317" t="s">
        <v>574</v>
      </c>
      <c r="C317" s="4">
        <v>0</v>
      </c>
      <c r="D317" s="4">
        <v>64.616500000000002</v>
      </c>
    </row>
    <row r="318" spans="1:4" x14ac:dyDescent="0.2">
      <c r="A318" s="83">
        <v>416</v>
      </c>
      <c r="B318" t="s">
        <v>575</v>
      </c>
      <c r="C318" s="4">
        <v>0</v>
      </c>
      <c r="D318" s="4">
        <v>64.700199999999995</v>
      </c>
    </row>
    <row r="319" spans="1:4" x14ac:dyDescent="0.2">
      <c r="A319" s="83">
        <v>417</v>
      </c>
      <c r="B319" t="s">
        <v>576</v>
      </c>
      <c r="C319" s="4">
        <v>0</v>
      </c>
      <c r="D319" s="4">
        <v>64.784899999999993</v>
      </c>
    </row>
    <row r="320" spans="1:4" x14ac:dyDescent="0.2">
      <c r="A320" s="83">
        <v>418</v>
      </c>
      <c r="B320" t="s">
        <v>577</v>
      </c>
      <c r="C320" s="4">
        <v>0</v>
      </c>
      <c r="D320" s="4">
        <v>64.870500000000007</v>
      </c>
    </row>
    <row r="321" spans="1:4" x14ac:dyDescent="0.2">
      <c r="A321" s="83">
        <v>419</v>
      </c>
      <c r="B321" t="s">
        <v>578</v>
      </c>
      <c r="C321" s="4">
        <v>0</v>
      </c>
      <c r="D321" s="4">
        <v>64.957099999999997</v>
      </c>
    </row>
    <row r="322" spans="1:4" x14ac:dyDescent="0.2">
      <c r="A322" s="83">
        <v>420</v>
      </c>
      <c r="B322" t="s">
        <v>579</v>
      </c>
      <c r="C322" s="4">
        <v>0</v>
      </c>
      <c r="D322" s="4">
        <v>65.044700000000006</v>
      </c>
    </row>
    <row r="323" spans="1:4" x14ac:dyDescent="0.2">
      <c r="A323" s="83">
        <v>421</v>
      </c>
      <c r="B323" t="s">
        <v>580</v>
      </c>
      <c r="C323" s="4">
        <v>0</v>
      </c>
      <c r="D323" s="4">
        <v>65.119200000000006</v>
      </c>
    </row>
    <row r="324" spans="1:4" x14ac:dyDescent="0.2">
      <c r="A324" s="83">
        <v>422</v>
      </c>
      <c r="B324" t="s">
        <v>581</v>
      </c>
      <c r="C324" s="4">
        <v>0</v>
      </c>
      <c r="D324" s="4">
        <v>65.194599999999994</v>
      </c>
    </row>
    <row r="325" spans="1:4" x14ac:dyDescent="0.2">
      <c r="A325" s="83">
        <v>423</v>
      </c>
      <c r="B325" t="s">
        <v>582</v>
      </c>
      <c r="C325" s="4">
        <v>0</v>
      </c>
      <c r="D325" s="4">
        <v>65.271000000000001</v>
      </c>
    </row>
    <row r="326" spans="1:4" x14ac:dyDescent="0.2">
      <c r="A326" s="83">
        <v>424</v>
      </c>
      <c r="B326" t="s">
        <v>583</v>
      </c>
      <c r="C326" s="4">
        <v>0</v>
      </c>
      <c r="D326" s="4">
        <v>65.348200000000006</v>
      </c>
    </row>
    <row r="327" spans="1:4" x14ac:dyDescent="0.2">
      <c r="A327" s="83">
        <v>425</v>
      </c>
      <c r="B327" t="s">
        <v>584</v>
      </c>
      <c r="C327" s="4">
        <v>0</v>
      </c>
      <c r="D327" s="4">
        <v>65.426299999999998</v>
      </c>
    </row>
    <row r="328" spans="1:4" x14ac:dyDescent="0.2">
      <c r="A328" s="83">
        <v>426</v>
      </c>
      <c r="B328" t="s">
        <v>585</v>
      </c>
      <c r="C328" s="4">
        <v>0</v>
      </c>
      <c r="D328" s="4">
        <v>65.492199999999997</v>
      </c>
    </row>
    <row r="329" spans="1:4" x14ac:dyDescent="0.2">
      <c r="A329" s="83">
        <v>427</v>
      </c>
      <c r="B329" t="s">
        <v>586</v>
      </c>
      <c r="C329" s="4">
        <v>0</v>
      </c>
      <c r="D329" s="4">
        <v>65.558899999999994</v>
      </c>
    </row>
    <row r="330" spans="1:4" x14ac:dyDescent="0.2">
      <c r="A330" s="83">
        <v>428</v>
      </c>
      <c r="B330" t="s">
        <v>587</v>
      </c>
      <c r="C330" s="4">
        <v>0</v>
      </c>
      <c r="D330" s="4">
        <v>65.626400000000004</v>
      </c>
    </row>
    <row r="331" spans="1:4" x14ac:dyDescent="0.2">
      <c r="A331" s="83">
        <v>429</v>
      </c>
      <c r="B331" t="s">
        <v>588</v>
      </c>
      <c r="C331" s="4">
        <v>0</v>
      </c>
      <c r="D331" s="4">
        <v>65.694699999999997</v>
      </c>
    </row>
    <row r="332" spans="1:4" x14ac:dyDescent="0.2">
      <c r="A332" s="83">
        <v>430</v>
      </c>
      <c r="B332" t="s">
        <v>589</v>
      </c>
      <c r="C332" s="4">
        <v>0</v>
      </c>
      <c r="D332" s="4">
        <v>65.763800000000003</v>
      </c>
    </row>
    <row r="333" spans="1:4" x14ac:dyDescent="0.2">
      <c r="A333" s="83">
        <v>431</v>
      </c>
      <c r="B333" t="s">
        <v>590</v>
      </c>
      <c r="C333" s="4">
        <v>0</v>
      </c>
      <c r="D333" s="4">
        <v>65.821700000000007</v>
      </c>
    </row>
    <row r="334" spans="1:4" x14ac:dyDescent="0.2">
      <c r="A334" s="83">
        <v>432</v>
      </c>
      <c r="B334" t="s">
        <v>591</v>
      </c>
      <c r="C334" s="4">
        <v>0</v>
      </c>
      <c r="D334" s="4">
        <v>65.880300000000005</v>
      </c>
    </row>
    <row r="335" spans="1:4" x14ac:dyDescent="0.2">
      <c r="A335" s="83">
        <v>433</v>
      </c>
      <c r="B335" t="s">
        <v>592</v>
      </c>
      <c r="C335" s="4">
        <v>0</v>
      </c>
      <c r="D335" s="4">
        <v>65.939700000000002</v>
      </c>
    </row>
    <row r="336" spans="1:4" x14ac:dyDescent="0.2">
      <c r="A336" s="83">
        <v>434</v>
      </c>
      <c r="B336" t="s">
        <v>593</v>
      </c>
      <c r="C336" s="4">
        <v>0</v>
      </c>
      <c r="D336" s="4">
        <v>65.999799999999993</v>
      </c>
    </row>
    <row r="337" spans="1:4" x14ac:dyDescent="0.2">
      <c r="A337" s="83">
        <v>435</v>
      </c>
      <c r="B337" t="s">
        <v>594</v>
      </c>
      <c r="C337" s="4">
        <v>0</v>
      </c>
      <c r="D337" s="4">
        <v>66.060599999999994</v>
      </c>
    </row>
    <row r="338" spans="1:4" x14ac:dyDescent="0.2">
      <c r="A338" s="83">
        <v>436</v>
      </c>
      <c r="B338" t="s">
        <v>595</v>
      </c>
      <c r="C338" s="4">
        <v>0</v>
      </c>
      <c r="D338" s="4">
        <v>66.111099999999993</v>
      </c>
    </row>
    <row r="339" spans="1:4" x14ac:dyDescent="0.2">
      <c r="A339" s="83">
        <v>437</v>
      </c>
      <c r="B339" t="s">
        <v>596</v>
      </c>
      <c r="C339" s="4">
        <v>0</v>
      </c>
      <c r="D339" s="4">
        <v>66.162300000000002</v>
      </c>
    </row>
    <row r="340" spans="1:4" x14ac:dyDescent="0.2">
      <c r="A340" s="83">
        <v>438</v>
      </c>
      <c r="B340" t="s">
        <v>597</v>
      </c>
      <c r="C340" s="4">
        <v>0</v>
      </c>
      <c r="D340" s="4">
        <v>66.214200000000005</v>
      </c>
    </row>
    <row r="341" spans="1:4" x14ac:dyDescent="0.2">
      <c r="A341" s="83">
        <v>439</v>
      </c>
      <c r="B341" t="s">
        <v>598</v>
      </c>
      <c r="C341" s="4">
        <v>0</v>
      </c>
      <c r="D341" s="4">
        <v>66.2667</v>
      </c>
    </row>
    <row r="342" spans="1:4" x14ac:dyDescent="0.2">
      <c r="A342" s="83">
        <v>440</v>
      </c>
      <c r="B342" t="s">
        <v>599</v>
      </c>
      <c r="C342" s="4">
        <v>0</v>
      </c>
      <c r="D342" s="4">
        <v>66.319900000000004</v>
      </c>
    </row>
    <row r="343" spans="1:4" x14ac:dyDescent="0.2">
      <c r="A343" s="83">
        <v>441</v>
      </c>
      <c r="B343" t="s">
        <v>600</v>
      </c>
      <c r="C343" s="4">
        <v>0</v>
      </c>
      <c r="D343" s="4">
        <v>66.364099999999993</v>
      </c>
    </row>
    <row r="344" spans="1:4" x14ac:dyDescent="0.2">
      <c r="A344" s="83">
        <v>442</v>
      </c>
      <c r="B344" t="s">
        <v>601</v>
      </c>
      <c r="C344" s="4">
        <v>0</v>
      </c>
      <c r="D344" s="4">
        <v>66.409000000000006</v>
      </c>
    </row>
    <row r="345" spans="1:4" x14ac:dyDescent="0.2">
      <c r="A345" s="83">
        <v>443</v>
      </c>
      <c r="B345" t="s">
        <v>602</v>
      </c>
      <c r="C345" s="4">
        <v>0</v>
      </c>
      <c r="D345" s="4">
        <v>66.454400000000007</v>
      </c>
    </row>
    <row r="346" spans="1:4" x14ac:dyDescent="0.2">
      <c r="A346" s="83">
        <v>444</v>
      </c>
      <c r="B346" t="s">
        <v>603</v>
      </c>
      <c r="C346" s="4">
        <v>0</v>
      </c>
      <c r="D346" s="4">
        <v>66.500500000000002</v>
      </c>
    </row>
    <row r="347" spans="1:4" x14ac:dyDescent="0.2">
      <c r="A347" s="83">
        <v>445</v>
      </c>
      <c r="B347" t="s">
        <v>604</v>
      </c>
      <c r="C347" s="4">
        <v>0</v>
      </c>
      <c r="D347" s="4">
        <v>66.547200000000004</v>
      </c>
    </row>
    <row r="348" spans="1:4" x14ac:dyDescent="0.2">
      <c r="A348" s="83">
        <v>446</v>
      </c>
      <c r="B348" t="s">
        <v>605</v>
      </c>
      <c r="C348" s="4">
        <v>0</v>
      </c>
      <c r="D348" s="4">
        <v>66.585899999999995</v>
      </c>
    </row>
    <row r="349" spans="1:4" x14ac:dyDescent="0.2">
      <c r="A349" s="83">
        <v>447</v>
      </c>
      <c r="B349" t="s">
        <v>606</v>
      </c>
      <c r="C349" s="4">
        <v>0</v>
      </c>
      <c r="D349" s="4">
        <v>66.625200000000007</v>
      </c>
    </row>
    <row r="350" spans="1:4" x14ac:dyDescent="0.2">
      <c r="A350" s="83">
        <v>448</v>
      </c>
      <c r="B350" t="s">
        <v>607</v>
      </c>
      <c r="C350" s="4">
        <v>0</v>
      </c>
      <c r="D350" s="4">
        <v>66.665099999999995</v>
      </c>
    </row>
    <row r="351" spans="1:4" x14ac:dyDescent="0.2">
      <c r="A351" s="83">
        <v>449</v>
      </c>
      <c r="B351" t="s">
        <v>608</v>
      </c>
      <c r="C351" s="4">
        <v>0</v>
      </c>
      <c r="D351" s="4">
        <v>66.705500000000001</v>
      </c>
    </row>
    <row r="352" spans="1:4" x14ac:dyDescent="0.2">
      <c r="A352" s="83">
        <v>450</v>
      </c>
      <c r="B352" t="s">
        <v>609</v>
      </c>
      <c r="C352" s="4">
        <v>0</v>
      </c>
      <c r="D352" s="4">
        <v>66.746499999999997</v>
      </c>
    </row>
    <row r="353" spans="1:4" x14ac:dyDescent="0.2">
      <c r="A353" s="83">
        <v>451</v>
      </c>
      <c r="B353" t="s">
        <v>610</v>
      </c>
      <c r="C353" s="4">
        <v>0</v>
      </c>
      <c r="D353" s="4">
        <v>66.781899999999993</v>
      </c>
    </row>
    <row r="354" spans="1:4" x14ac:dyDescent="0.2">
      <c r="A354" s="83">
        <v>452</v>
      </c>
      <c r="B354" t="s">
        <v>611</v>
      </c>
      <c r="C354" s="4">
        <v>0</v>
      </c>
      <c r="D354" s="4">
        <v>66.817899999999995</v>
      </c>
    </row>
    <row r="355" spans="1:4" x14ac:dyDescent="0.2">
      <c r="A355" s="83">
        <v>453</v>
      </c>
      <c r="B355" t="s">
        <v>612</v>
      </c>
      <c r="C355" s="4">
        <v>0</v>
      </c>
      <c r="D355" s="4">
        <v>66.854299999999995</v>
      </c>
    </row>
    <row r="356" spans="1:4" x14ac:dyDescent="0.2">
      <c r="A356" s="83">
        <v>454</v>
      </c>
      <c r="B356" t="s">
        <v>613</v>
      </c>
      <c r="C356" s="4">
        <v>0</v>
      </c>
      <c r="D356" s="4">
        <v>66.891300000000001</v>
      </c>
    </row>
    <row r="357" spans="1:4" x14ac:dyDescent="0.2">
      <c r="A357" s="83">
        <v>455</v>
      </c>
      <c r="B357" t="s">
        <v>614</v>
      </c>
      <c r="C357" s="4">
        <v>0</v>
      </c>
      <c r="D357" s="4">
        <v>66.928700000000006</v>
      </c>
    </row>
    <row r="358" spans="1:4" x14ac:dyDescent="0.2">
      <c r="A358" s="83">
        <v>456</v>
      </c>
      <c r="B358" t="s">
        <v>615</v>
      </c>
      <c r="C358" s="4">
        <v>0</v>
      </c>
      <c r="D358" s="4">
        <v>66.960300000000004</v>
      </c>
    </row>
    <row r="359" spans="1:4" x14ac:dyDescent="0.2">
      <c r="A359" s="83">
        <v>457</v>
      </c>
      <c r="B359" t="s">
        <v>616</v>
      </c>
      <c r="C359" s="4">
        <v>0</v>
      </c>
      <c r="D359" s="4">
        <v>66.9923</v>
      </c>
    </row>
    <row r="360" spans="1:4" x14ac:dyDescent="0.2">
      <c r="A360" s="83">
        <v>458</v>
      </c>
      <c r="B360" t="s">
        <v>617</v>
      </c>
      <c r="C360" s="4">
        <v>0</v>
      </c>
      <c r="D360" s="4">
        <v>67.024799999999999</v>
      </c>
    </row>
    <row r="361" spans="1:4" x14ac:dyDescent="0.2">
      <c r="A361" s="83">
        <v>459</v>
      </c>
      <c r="B361" t="s">
        <v>618</v>
      </c>
      <c r="C361" s="4">
        <v>0</v>
      </c>
      <c r="D361" s="4">
        <v>67.0578</v>
      </c>
    </row>
    <row r="362" spans="1:4" x14ac:dyDescent="0.2">
      <c r="A362" s="83">
        <v>460</v>
      </c>
      <c r="B362" t="s">
        <v>619</v>
      </c>
      <c r="C362" s="4">
        <v>0</v>
      </c>
      <c r="D362" s="4">
        <v>67.091200000000001</v>
      </c>
    </row>
    <row r="363" spans="1:4" x14ac:dyDescent="0.2">
      <c r="A363" s="83">
        <v>461</v>
      </c>
      <c r="B363" t="s">
        <v>620</v>
      </c>
      <c r="C363" s="4">
        <v>0</v>
      </c>
      <c r="D363" s="4">
        <v>67.119500000000002</v>
      </c>
    </row>
    <row r="364" spans="1:4" x14ac:dyDescent="0.2">
      <c r="A364" s="83">
        <v>462</v>
      </c>
      <c r="B364" t="s">
        <v>621</v>
      </c>
      <c r="C364" s="4">
        <v>0</v>
      </c>
      <c r="D364" s="4">
        <v>67.148200000000003</v>
      </c>
    </row>
    <row r="365" spans="1:4" x14ac:dyDescent="0.2">
      <c r="A365" s="83">
        <v>463</v>
      </c>
      <c r="B365" t="s">
        <v>622</v>
      </c>
      <c r="C365" s="4">
        <v>0</v>
      </c>
      <c r="D365" s="4">
        <v>67.177400000000006</v>
      </c>
    </row>
    <row r="366" spans="1:4" x14ac:dyDescent="0.2">
      <c r="A366" s="83">
        <v>464</v>
      </c>
      <c r="B366" t="s">
        <v>623</v>
      </c>
      <c r="C366" s="4">
        <v>0</v>
      </c>
      <c r="D366" s="4">
        <v>67.206900000000005</v>
      </c>
    </row>
    <row r="367" spans="1:4" x14ac:dyDescent="0.2">
      <c r="A367" s="83">
        <v>465</v>
      </c>
      <c r="B367" t="s">
        <v>624</v>
      </c>
      <c r="C367" s="4">
        <v>0</v>
      </c>
      <c r="D367" s="4">
        <v>67.236900000000006</v>
      </c>
    </row>
    <row r="368" spans="1:4" x14ac:dyDescent="0.2">
      <c r="A368" s="83">
        <v>466</v>
      </c>
      <c r="B368" t="s">
        <v>625</v>
      </c>
      <c r="C368" s="4">
        <v>0</v>
      </c>
      <c r="D368" s="4">
        <v>67.262500000000003</v>
      </c>
    </row>
    <row r="369" spans="1:4" x14ac:dyDescent="0.2">
      <c r="A369" s="83">
        <v>467</v>
      </c>
      <c r="B369" t="s">
        <v>626</v>
      </c>
      <c r="C369" s="4">
        <v>0</v>
      </c>
      <c r="D369" s="4">
        <v>67.288499999999999</v>
      </c>
    </row>
    <row r="370" spans="1:4" x14ac:dyDescent="0.2">
      <c r="A370" s="83">
        <v>468</v>
      </c>
      <c r="B370" t="s">
        <v>627</v>
      </c>
      <c r="C370" s="4">
        <v>0</v>
      </c>
      <c r="D370" s="4">
        <v>67.314800000000005</v>
      </c>
    </row>
    <row r="371" spans="1:4" x14ac:dyDescent="0.2">
      <c r="A371" s="83">
        <v>469</v>
      </c>
      <c r="B371" t="s">
        <v>628</v>
      </c>
      <c r="C371" s="4">
        <v>0</v>
      </c>
      <c r="D371" s="4">
        <v>67.3416</v>
      </c>
    </row>
    <row r="372" spans="1:4" x14ac:dyDescent="0.2">
      <c r="A372" s="83">
        <v>470</v>
      </c>
      <c r="B372" t="s">
        <v>629</v>
      </c>
      <c r="C372" s="4">
        <v>0</v>
      </c>
      <c r="D372" s="4">
        <v>67.368700000000004</v>
      </c>
    </row>
    <row r="373" spans="1:4" x14ac:dyDescent="0.2">
      <c r="A373" s="83">
        <v>471</v>
      </c>
      <c r="B373" t="s">
        <v>630</v>
      </c>
      <c r="C373" s="4">
        <v>0</v>
      </c>
      <c r="D373" s="4">
        <v>67.391900000000007</v>
      </c>
    </row>
    <row r="374" spans="1:4" x14ac:dyDescent="0.2">
      <c r="A374" s="83">
        <v>472</v>
      </c>
      <c r="B374" t="s">
        <v>631</v>
      </c>
      <c r="C374" s="4">
        <v>0</v>
      </c>
      <c r="D374" s="4">
        <v>67.415400000000005</v>
      </c>
    </row>
    <row r="375" spans="1:4" x14ac:dyDescent="0.2">
      <c r="A375" s="83">
        <v>473</v>
      </c>
      <c r="B375" t="s">
        <v>632</v>
      </c>
      <c r="C375" s="4">
        <v>0</v>
      </c>
      <c r="D375" s="4">
        <v>67.439300000000003</v>
      </c>
    </row>
    <row r="376" spans="1:4" x14ac:dyDescent="0.2">
      <c r="A376" s="83">
        <v>474</v>
      </c>
      <c r="B376" t="s">
        <v>633</v>
      </c>
      <c r="C376" s="4">
        <v>0</v>
      </c>
      <c r="D376" s="4">
        <v>67.4636</v>
      </c>
    </row>
    <row r="377" spans="1:4" x14ac:dyDescent="0.2">
      <c r="A377" s="83">
        <v>475</v>
      </c>
      <c r="B377" t="s">
        <v>634</v>
      </c>
      <c r="C377" s="4">
        <v>0</v>
      </c>
      <c r="D377" s="4">
        <v>67.488200000000006</v>
      </c>
    </row>
    <row r="378" spans="1:4" x14ac:dyDescent="0.2">
      <c r="A378" s="83">
        <v>476</v>
      </c>
      <c r="B378" t="s">
        <v>635</v>
      </c>
      <c r="C378" s="4">
        <v>0</v>
      </c>
      <c r="D378" s="4">
        <v>67.509399999999999</v>
      </c>
    </row>
    <row r="379" spans="1:4" x14ac:dyDescent="0.2">
      <c r="A379" s="83">
        <v>477</v>
      </c>
      <c r="B379" t="s">
        <v>636</v>
      </c>
      <c r="C379" s="4">
        <v>0</v>
      </c>
      <c r="D379" s="4">
        <v>67.530900000000003</v>
      </c>
    </row>
    <row r="380" spans="1:4" x14ac:dyDescent="0.2">
      <c r="A380" s="83">
        <v>478</v>
      </c>
      <c r="B380" t="s">
        <v>637</v>
      </c>
      <c r="C380" s="4">
        <v>0</v>
      </c>
      <c r="D380" s="4">
        <v>67.552700000000002</v>
      </c>
    </row>
    <row r="381" spans="1:4" x14ac:dyDescent="0.2">
      <c r="A381" s="83">
        <v>479</v>
      </c>
      <c r="B381" t="s">
        <v>638</v>
      </c>
      <c r="C381" s="4">
        <v>0</v>
      </c>
      <c r="D381" s="4">
        <v>67.5749</v>
      </c>
    </row>
    <row r="382" spans="1:4" x14ac:dyDescent="0.2">
      <c r="A382" s="83">
        <v>480</v>
      </c>
      <c r="B382" t="s">
        <v>639</v>
      </c>
      <c r="C382" s="4">
        <v>0</v>
      </c>
      <c r="D382" s="4">
        <v>67.597399999999993</v>
      </c>
    </row>
    <row r="383" spans="1:4" x14ac:dyDescent="0.2">
      <c r="A383" s="83">
        <v>481</v>
      </c>
      <c r="B383" t="s">
        <v>640</v>
      </c>
      <c r="C383" s="4">
        <v>0</v>
      </c>
      <c r="D383" s="4">
        <v>67.616699999999994</v>
      </c>
    </row>
    <row r="384" spans="1:4" x14ac:dyDescent="0.2">
      <c r="A384" s="83">
        <v>482</v>
      </c>
      <c r="B384" t="s">
        <v>641</v>
      </c>
      <c r="C384" s="4">
        <v>0</v>
      </c>
      <c r="D384" s="4">
        <v>67.636399999999995</v>
      </c>
    </row>
    <row r="385" spans="1:4" x14ac:dyDescent="0.2">
      <c r="A385" s="83">
        <v>483</v>
      </c>
      <c r="B385" t="s">
        <v>642</v>
      </c>
      <c r="C385" s="4">
        <v>0</v>
      </c>
      <c r="D385" s="4">
        <v>67.656400000000005</v>
      </c>
    </row>
    <row r="386" spans="1:4" x14ac:dyDescent="0.2">
      <c r="A386" s="83">
        <v>484</v>
      </c>
      <c r="B386" t="s">
        <v>643</v>
      </c>
      <c r="C386" s="4">
        <v>0</v>
      </c>
      <c r="D386" s="4">
        <v>67.676699999999997</v>
      </c>
    </row>
    <row r="387" spans="1:4" x14ac:dyDescent="0.2">
      <c r="A387" s="83">
        <v>485</v>
      </c>
      <c r="B387" t="s">
        <v>644</v>
      </c>
      <c r="C387" s="4">
        <v>0</v>
      </c>
      <c r="D387" s="4">
        <v>67.697299999999998</v>
      </c>
    </row>
    <row r="388" spans="1:4" x14ac:dyDescent="0.2">
      <c r="A388" s="83">
        <v>486</v>
      </c>
      <c r="B388" t="s">
        <v>645</v>
      </c>
      <c r="C388" s="4">
        <v>0</v>
      </c>
      <c r="D388" s="4">
        <v>67.715100000000007</v>
      </c>
    </row>
    <row r="389" spans="1:4" x14ac:dyDescent="0.2">
      <c r="A389" s="83">
        <v>487</v>
      </c>
      <c r="B389" t="s">
        <v>646</v>
      </c>
      <c r="C389" s="4">
        <v>0</v>
      </c>
      <c r="D389" s="4">
        <v>67.733099999999993</v>
      </c>
    </row>
    <row r="390" spans="1:4" x14ac:dyDescent="0.2">
      <c r="A390" s="83">
        <v>488</v>
      </c>
      <c r="B390" t="s">
        <v>647</v>
      </c>
      <c r="C390" s="4">
        <v>0</v>
      </c>
      <c r="D390" s="4">
        <v>67.751499999999993</v>
      </c>
    </row>
    <row r="391" spans="1:4" x14ac:dyDescent="0.2">
      <c r="A391" s="83">
        <v>489</v>
      </c>
      <c r="B391" t="s">
        <v>648</v>
      </c>
      <c r="C391" s="4">
        <v>0</v>
      </c>
      <c r="D391" s="4">
        <v>67.770099999999999</v>
      </c>
    </row>
    <row r="392" spans="1:4" x14ac:dyDescent="0.2">
      <c r="A392" s="83">
        <v>490</v>
      </c>
      <c r="B392" t="s">
        <v>649</v>
      </c>
      <c r="C392" s="4">
        <v>0</v>
      </c>
      <c r="D392" s="4">
        <v>67.789100000000005</v>
      </c>
    </row>
    <row r="393" spans="1:4" x14ac:dyDescent="0.2">
      <c r="A393" s="83">
        <v>491</v>
      </c>
      <c r="B393" t="s">
        <v>650</v>
      </c>
      <c r="C393" s="4">
        <v>0</v>
      </c>
      <c r="D393" s="4">
        <v>67.805499999999995</v>
      </c>
    </row>
    <row r="394" spans="1:4" x14ac:dyDescent="0.2">
      <c r="A394" s="83">
        <v>492</v>
      </c>
      <c r="B394" t="s">
        <v>651</v>
      </c>
      <c r="C394" s="4">
        <v>0</v>
      </c>
      <c r="D394" s="4">
        <v>67.822199999999995</v>
      </c>
    </row>
    <row r="395" spans="1:4" x14ac:dyDescent="0.2">
      <c r="A395" s="83">
        <v>493</v>
      </c>
      <c r="B395" t="s">
        <v>652</v>
      </c>
      <c r="C395" s="4">
        <v>0</v>
      </c>
      <c r="D395" s="4">
        <v>67.839200000000005</v>
      </c>
    </row>
    <row r="396" spans="1:4" x14ac:dyDescent="0.2">
      <c r="A396" s="83">
        <v>494</v>
      </c>
      <c r="B396" t="s">
        <v>653</v>
      </c>
      <c r="C396" s="4">
        <v>0</v>
      </c>
      <c r="D396" s="4">
        <v>67.856499999999997</v>
      </c>
    </row>
    <row r="397" spans="1:4" x14ac:dyDescent="0.2">
      <c r="A397" s="83">
        <v>495</v>
      </c>
      <c r="B397" t="s">
        <v>654</v>
      </c>
      <c r="C397" s="4">
        <v>0</v>
      </c>
      <c r="D397" s="4">
        <v>67.874099999999999</v>
      </c>
    </row>
    <row r="398" spans="1:4" x14ac:dyDescent="0.2">
      <c r="A398" s="83">
        <v>496</v>
      </c>
      <c r="B398" t="s">
        <v>655</v>
      </c>
      <c r="C398" s="4">
        <v>0</v>
      </c>
      <c r="D398" s="4">
        <v>67.889200000000002</v>
      </c>
    </row>
    <row r="399" spans="1:4" x14ac:dyDescent="0.2">
      <c r="A399" s="83">
        <v>497</v>
      </c>
      <c r="B399" t="s">
        <v>656</v>
      </c>
      <c r="C399" s="4">
        <v>0</v>
      </c>
      <c r="D399" s="4">
        <v>67.904600000000002</v>
      </c>
    </row>
    <row r="400" spans="1:4" x14ac:dyDescent="0.2">
      <c r="A400" s="83">
        <v>498</v>
      </c>
      <c r="B400" t="s">
        <v>657</v>
      </c>
      <c r="C400" s="4">
        <v>0</v>
      </c>
      <c r="D400" s="4">
        <v>67.920299999999997</v>
      </c>
    </row>
    <row r="401" spans="1:4" x14ac:dyDescent="0.2">
      <c r="A401" s="83">
        <v>499</v>
      </c>
      <c r="B401" t="s">
        <v>658</v>
      </c>
      <c r="C401" s="4">
        <v>0</v>
      </c>
      <c r="D401" s="4">
        <v>67.936300000000003</v>
      </c>
    </row>
    <row r="402" spans="1:4" x14ac:dyDescent="0.2">
      <c r="A402" s="83">
        <v>500</v>
      </c>
      <c r="B402" t="s">
        <v>659</v>
      </c>
      <c r="C402" s="4">
        <v>0</v>
      </c>
      <c r="D402" s="4">
        <v>67.952500000000001</v>
      </c>
    </row>
    <row r="403" spans="1:4" x14ac:dyDescent="0.2">
      <c r="A403" s="83">
        <v>501</v>
      </c>
      <c r="B403" t="s">
        <v>660</v>
      </c>
      <c r="C403" s="4">
        <v>0</v>
      </c>
      <c r="D403" s="4">
        <v>67.967399999999998</v>
      </c>
    </row>
    <row r="404" spans="1:4" x14ac:dyDescent="0.2">
      <c r="A404" s="83">
        <v>502</v>
      </c>
      <c r="B404" t="s">
        <v>661</v>
      </c>
      <c r="C404" s="4">
        <v>0</v>
      </c>
      <c r="D404" s="4">
        <v>67.982500000000002</v>
      </c>
    </row>
    <row r="405" spans="1:4" x14ac:dyDescent="0.2">
      <c r="A405" s="83">
        <v>503</v>
      </c>
      <c r="B405" t="s">
        <v>662</v>
      </c>
      <c r="C405" s="4">
        <v>0</v>
      </c>
      <c r="D405" s="4">
        <v>67.997900000000001</v>
      </c>
    </row>
    <row r="406" spans="1:4" x14ac:dyDescent="0.2">
      <c r="A406" s="83">
        <v>504</v>
      </c>
      <c r="B406" t="s">
        <v>663</v>
      </c>
      <c r="C406" s="4">
        <v>0</v>
      </c>
      <c r="D406" s="4">
        <v>68.013499999999993</v>
      </c>
    </row>
    <row r="407" spans="1:4" x14ac:dyDescent="0.2">
      <c r="A407" s="83">
        <v>505</v>
      </c>
      <c r="B407" t="s">
        <v>664</v>
      </c>
      <c r="C407" s="4">
        <v>0</v>
      </c>
      <c r="D407" s="4">
        <v>68.029300000000006</v>
      </c>
    </row>
    <row r="408" spans="1:4" x14ac:dyDescent="0.2">
      <c r="A408" s="83">
        <v>506</v>
      </c>
      <c r="B408" t="s">
        <v>665</v>
      </c>
      <c r="C408" s="4">
        <v>0</v>
      </c>
      <c r="D408" s="4">
        <v>68.043099999999995</v>
      </c>
    </row>
    <row r="409" spans="1:4" x14ac:dyDescent="0.2">
      <c r="A409" s="83">
        <v>507</v>
      </c>
      <c r="B409" t="s">
        <v>666</v>
      </c>
      <c r="C409" s="4">
        <v>0</v>
      </c>
      <c r="D409" s="4">
        <v>68.057000000000002</v>
      </c>
    </row>
    <row r="410" spans="1:4" x14ac:dyDescent="0.2">
      <c r="A410" s="83">
        <v>508</v>
      </c>
      <c r="B410" t="s">
        <v>667</v>
      </c>
      <c r="C410" s="4">
        <v>0</v>
      </c>
      <c r="D410" s="4">
        <v>68.071200000000005</v>
      </c>
    </row>
    <row r="411" spans="1:4" x14ac:dyDescent="0.2">
      <c r="A411" s="83">
        <v>509</v>
      </c>
      <c r="B411" t="s">
        <v>668</v>
      </c>
      <c r="C411" s="4">
        <v>0</v>
      </c>
      <c r="D411" s="4">
        <v>68.085700000000003</v>
      </c>
    </row>
    <row r="412" spans="1:4" x14ac:dyDescent="0.2">
      <c r="A412" s="83">
        <v>510</v>
      </c>
      <c r="B412" t="s">
        <v>669</v>
      </c>
      <c r="C412" s="4">
        <v>0</v>
      </c>
      <c r="D412" s="4">
        <v>68.100300000000004</v>
      </c>
    </row>
    <row r="413" spans="1:4" x14ac:dyDescent="0.2">
      <c r="A413" s="83">
        <v>511</v>
      </c>
      <c r="B413" t="s">
        <v>670</v>
      </c>
      <c r="C413" s="4">
        <v>0</v>
      </c>
      <c r="D413" s="4">
        <v>68.113200000000006</v>
      </c>
    </row>
    <row r="414" spans="1:4" x14ac:dyDescent="0.2">
      <c r="A414" s="83">
        <v>512</v>
      </c>
      <c r="B414" t="s">
        <v>671</v>
      </c>
      <c r="C414" s="4">
        <v>0</v>
      </c>
      <c r="D414" s="4">
        <v>68.126300000000001</v>
      </c>
    </row>
    <row r="415" spans="1:4" x14ac:dyDescent="0.2">
      <c r="A415" s="83">
        <v>513</v>
      </c>
      <c r="B415" t="s">
        <v>672</v>
      </c>
      <c r="C415" s="4">
        <v>0</v>
      </c>
      <c r="D415" s="4">
        <v>68.139600000000002</v>
      </c>
    </row>
    <row r="416" spans="1:4" x14ac:dyDescent="0.2">
      <c r="A416" s="83">
        <v>514</v>
      </c>
      <c r="B416" t="s">
        <v>673</v>
      </c>
      <c r="C416" s="4">
        <v>0</v>
      </c>
      <c r="D416" s="4">
        <v>68.153199999999998</v>
      </c>
    </row>
    <row r="417" spans="1:4" x14ac:dyDescent="0.2">
      <c r="A417" s="83">
        <v>515</v>
      </c>
      <c r="B417" t="s">
        <v>674</v>
      </c>
      <c r="C417" s="4">
        <v>0</v>
      </c>
      <c r="D417" s="4">
        <v>68.166899999999998</v>
      </c>
    </row>
    <row r="418" spans="1:4" x14ac:dyDescent="0.2">
      <c r="A418" s="83">
        <v>516</v>
      </c>
      <c r="B418" t="s">
        <v>675</v>
      </c>
      <c r="C418" s="4">
        <v>0</v>
      </c>
      <c r="D418" s="4">
        <v>68.178899999999999</v>
      </c>
    </row>
    <row r="419" spans="1:4" x14ac:dyDescent="0.2">
      <c r="A419" s="83">
        <v>517</v>
      </c>
      <c r="B419" t="s">
        <v>676</v>
      </c>
      <c r="C419" s="4">
        <v>0</v>
      </c>
      <c r="D419" s="4">
        <v>68.191000000000003</v>
      </c>
    </row>
    <row r="420" spans="1:4" x14ac:dyDescent="0.2">
      <c r="A420" s="83">
        <v>518</v>
      </c>
      <c r="B420" t="s">
        <v>677</v>
      </c>
      <c r="C420" s="4">
        <v>0</v>
      </c>
      <c r="D420" s="4">
        <v>68.203400000000002</v>
      </c>
    </row>
    <row r="421" spans="1:4" x14ac:dyDescent="0.2">
      <c r="A421" s="83">
        <v>519</v>
      </c>
      <c r="B421" t="s">
        <v>678</v>
      </c>
      <c r="C421" s="4">
        <v>0</v>
      </c>
      <c r="D421" s="4">
        <v>68.215900000000005</v>
      </c>
    </row>
    <row r="422" spans="1:4" x14ac:dyDescent="0.2">
      <c r="A422" s="83">
        <v>520</v>
      </c>
      <c r="B422" t="s">
        <v>679</v>
      </c>
      <c r="C422" s="4">
        <v>0</v>
      </c>
      <c r="D422" s="4">
        <v>68.228700000000003</v>
      </c>
    </row>
    <row r="423" spans="1:4" x14ac:dyDescent="0.2">
      <c r="A423" s="83">
        <v>521</v>
      </c>
      <c r="B423" t="s">
        <v>680</v>
      </c>
      <c r="C423" s="4">
        <v>0</v>
      </c>
      <c r="D423" s="4">
        <v>68.239900000000006</v>
      </c>
    </row>
    <row r="424" spans="1:4" x14ac:dyDescent="0.2">
      <c r="A424" s="83">
        <v>522</v>
      </c>
      <c r="B424" t="s">
        <v>681</v>
      </c>
      <c r="C424" s="4">
        <v>0</v>
      </c>
      <c r="D424" s="4">
        <v>68.251400000000004</v>
      </c>
    </row>
    <row r="425" spans="1:4" x14ac:dyDescent="0.2">
      <c r="A425" s="83">
        <v>523</v>
      </c>
      <c r="B425" t="s">
        <v>682</v>
      </c>
      <c r="C425" s="4">
        <v>0</v>
      </c>
      <c r="D425" s="4">
        <v>68.263000000000005</v>
      </c>
    </row>
    <row r="426" spans="1:4" x14ac:dyDescent="0.2">
      <c r="A426" s="83">
        <v>524</v>
      </c>
      <c r="B426" t="s">
        <v>683</v>
      </c>
      <c r="C426" s="4">
        <v>0</v>
      </c>
      <c r="D426" s="4">
        <v>68.274900000000002</v>
      </c>
    </row>
    <row r="427" spans="1:4" x14ac:dyDescent="0.2">
      <c r="A427" s="83">
        <v>525</v>
      </c>
      <c r="B427" t="s">
        <v>684</v>
      </c>
      <c r="C427" s="4">
        <v>0</v>
      </c>
      <c r="D427" s="4">
        <v>68.286900000000003</v>
      </c>
    </row>
    <row r="428" spans="1:4" x14ac:dyDescent="0.2">
      <c r="A428" s="83">
        <v>526</v>
      </c>
      <c r="B428" t="s">
        <v>685</v>
      </c>
      <c r="C428" s="4">
        <v>0</v>
      </c>
      <c r="D428" s="4">
        <v>68.297499999999999</v>
      </c>
    </row>
    <row r="429" spans="1:4" x14ac:dyDescent="0.2">
      <c r="A429" s="83">
        <v>527</v>
      </c>
      <c r="B429" t="s">
        <v>686</v>
      </c>
      <c r="C429" s="4">
        <v>0</v>
      </c>
      <c r="D429" s="4">
        <v>68.308199999999999</v>
      </c>
    </row>
    <row r="430" spans="1:4" x14ac:dyDescent="0.2">
      <c r="A430" s="83">
        <v>528</v>
      </c>
      <c r="B430" t="s">
        <v>687</v>
      </c>
      <c r="C430" s="4">
        <v>0</v>
      </c>
      <c r="D430" s="4">
        <v>68.319100000000006</v>
      </c>
    </row>
    <row r="431" spans="1:4" x14ac:dyDescent="0.2">
      <c r="A431" s="83">
        <v>529</v>
      </c>
      <c r="B431" s="4">
        <v>68.330100000000002</v>
      </c>
      <c r="C431" s="4" t="s">
        <v>692</v>
      </c>
      <c r="D431" s="4">
        <v>68.33</v>
      </c>
    </row>
    <row r="432" spans="1:4" x14ac:dyDescent="0.2">
      <c r="A432" s="83">
        <v>530</v>
      </c>
      <c r="B432" s="4">
        <v>68.341399999999993</v>
      </c>
      <c r="C432" s="4" t="s">
        <v>692</v>
      </c>
      <c r="D432" s="4">
        <v>68.341300000000004</v>
      </c>
    </row>
    <row r="433" spans="1:4" x14ac:dyDescent="0.2">
      <c r="A433" s="83">
        <v>531</v>
      </c>
      <c r="B433" s="4">
        <v>68.351299999999995</v>
      </c>
      <c r="C433" s="4" t="s">
        <v>692</v>
      </c>
      <c r="D433" s="4">
        <v>68.351200000000006</v>
      </c>
    </row>
    <row r="434" spans="1:4" x14ac:dyDescent="0.2">
      <c r="A434" s="83">
        <v>532</v>
      </c>
      <c r="B434" s="4">
        <v>68.3613</v>
      </c>
      <c r="C434" s="4" t="s">
        <v>692</v>
      </c>
      <c r="D434" s="4">
        <v>68.361199999999997</v>
      </c>
    </row>
    <row r="435" spans="1:4" x14ac:dyDescent="0.2">
      <c r="A435" s="83">
        <v>533</v>
      </c>
      <c r="B435" s="4">
        <v>68.371499999999997</v>
      </c>
      <c r="C435" s="4" t="s">
        <v>692</v>
      </c>
      <c r="D435" s="4">
        <v>68.371399999999994</v>
      </c>
    </row>
    <row r="436" spans="1:4" x14ac:dyDescent="0.2">
      <c r="A436" s="83">
        <v>534</v>
      </c>
      <c r="B436" s="4">
        <v>68.381900000000002</v>
      </c>
      <c r="C436" s="4" t="s">
        <v>692</v>
      </c>
      <c r="D436" s="4">
        <v>68.381799999999998</v>
      </c>
    </row>
    <row r="437" spans="1:4" x14ac:dyDescent="0.2">
      <c r="A437" s="83">
        <v>535</v>
      </c>
      <c r="B437" s="4">
        <v>68.392399999999995</v>
      </c>
      <c r="C437" s="4" t="s">
        <v>692</v>
      </c>
      <c r="D437" s="4">
        <v>68.392300000000006</v>
      </c>
    </row>
    <row r="438" spans="1:4" x14ac:dyDescent="0.2">
      <c r="A438" s="83">
        <v>536</v>
      </c>
      <c r="B438" s="4">
        <v>68.401799999999994</v>
      </c>
      <c r="C438" s="4" t="s">
        <v>692</v>
      </c>
      <c r="D438" s="4">
        <v>68.401700000000005</v>
      </c>
    </row>
    <row r="439" spans="1:4" x14ac:dyDescent="0.2">
      <c r="A439" s="83">
        <v>537</v>
      </c>
      <c r="B439" s="4">
        <v>68.411199999999994</v>
      </c>
      <c r="C439" s="4" t="s">
        <v>692</v>
      </c>
      <c r="D439" s="4">
        <v>68.411100000000005</v>
      </c>
    </row>
    <row r="440" spans="1:4" x14ac:dyDescent="0.2">
      <c r="A440" s="83">
        <v>538</v>
      </c>
      <c r="B440" s="4">
        <v>68.420900000000003</v>
      </c>
      <c r="C440" s="4" t="s">
        <v>693</v>
      </c>
      <c r="D440" s="4">
        <v>68.420699999999997</v>
      </c>
    </row>
    <row r="441" spans="1:4" x14ac:dyDescent="0.2">
      <c r="A441" s="83">
        <v>539</v>
      </c>
      <c r="B441" s="4">
        <v>68.430700000000002</v>
      </c>
      <c r="C441" s="4" t="s">
        <v>693</v>
      </c>
      <c r="D441" s="4">
        <v>68.430499999999995</v>
      </c>
    </row>
    <row r="442" spans="1:4" x14ac:dyDescent="0.2">
      <c r="A442" s="83">
        <v>540</v>
      </c>
      <c r="B442" s="4">
        <v>68.440700000000007</v>
      </c>
      <c r="C442" s="4" t="s">
        <v>693</v>
      </c>
      <c r="D442" s="4">
        <v>68.4405</v>
      </c>
    </row>
    <row r="443" spans="1:4" x14ac:dyDescent="0.2">
      <c r="A443" s="83">
        <v>541</v>
      </c>
      <c r="B443" s="4">
        <v>68.4495</v>
      </c>
      <c r="C443" s="4" t="s">
        <v>693</v>
      </c>
      <c r="D443" s="4">
        <v>68.449299999999994</v>
      </c>
    </row>
    <row r="444" spans="1:4" x14ac:dyDescent="0.2">
      <c r="A444" s="83">
        <v>542</v>
      </c>
      <c r="B444" s="4">
        <v>68.458399999999997</v>
      </c>
      <c r="C444" s="4" t="s">
        <v>694</v>
      </c>
      <c r="D444" s="4">
        <v>68.458100000000002</v>
      </c>
    </row>
    <row r="445" spans="1:4" x14ac:dyDescent="0.2">
      <c r="A445" s="83">
        <v>543</v>
      </c>
      <c r="B445" s="4">
        <v>68.467500000000001</v>
      </c>
      <c r="C445" s="4" t="s">
        <v>694</v>
      </c>
      <c r="D445" s="4">
        <v>68.467200000000005</v>
      </c>
    </row>
    <row r="446" spans="1:4" x14ac:dyDescent="0.2">
      <c r="A446" s="83">
        <v>544</v>
      </c>
      <c r="B446" s="4">
        <v>68.476699999999994</v>
      </c>
      <c r="C446" s="4" t="s">
        <v>694</v>
      </c>
      <c r="D446" s="4">
        <v>68.476399999999998</v>
      </c>
    </row>
    <row r="447" spans="1:4" x14ac:dyDescent="0.2">
      <c r="A447" s="83">
        <v>545</v>
      </c>
      <c r="B447" s="4">
        <v>68.486099999999993</v>
      </c>
      <c r="C447" s="4" t="s">
        <v>695</v>
      </c>
      <c r="D447" s="4">
        <v>68.485699999999994</v>
      </c>
    </row>
    <row r="448" spans="1:4" x14ac:dyDescent="0.2">
      <c r="A448" s="83">
        <v>546</v>
      </c>
      <c r="B448" s="4">
        <v>68.494299999999996</v>
      </c>
      <c r="C448" s="4" t="s">
        <v>695</v>
      </c>
      <c r="D448" s="4">
        <v>68.493899999999996</v>
      </c>
    </row>
    <row r="449" spans="1:4" x14ac:dyDescent="0.2">
      <c r="A449" s="83">
        <v>547</v>
      </c>
      <c r="B449" s="4">
        <v>68.502700000000004</v>
      </c>
      <c r="C449" s="4" t="s">
        <v>695</v>
      </c>
      <c r="D449" s="4">
        <v>68.502300000000005</v>
      </c>
    </row>
    <row r="450" spans="1:4" x14ac:dyDescent="0.2">
      <c r="A450" s="83">
        <v>548</v>
      </c>
      <c r="B450" s="4">
        <v>68.511300000000006</v>
      </c>
      <c r="C450" s="4" t="s">
        <v>696</v>
      </c>
      <c r="D450" s="4">
        <v>68.510800000000003</v>
      </c>
    </row>
    <row r="451" spans="1:4" x14ac:dyDescent="0.2">
      <c r="A451" s="83">
        <v>549</v>
      </c>
      <c r="B451" s="4">
        <v>68.52</v>
      </c>
      <c r="C451" s="4" t="s">
        <v>696</v>
      </c>
      <c r="D451" s="4">
        <v>68.519499999999994</v>
      </c>
    </row>
    <row r="452" spans="1:4" x14ac:dyDescent="0.2">
      <c r="A452" s="83">
        <v>550</v>
      </c>
      <c r="B452" s="4">
        <v>68.528800000000004</v>
      </c>
      <c r="C452" s="4" t="s">
        <v>697</v>
      </c>
      <c r="D452" s="4">
        <v>68.528199999999998</v>
      </c>
    </row>
    <row r="453" spans="1:4" x14ac:dyDescent="0.2">
      <c r="A453" s="83">
        <v>551</v>
      </c>
      <c r="B453" s="4">
        <v>68.536600000000007</v>
      </c>
      <c r="C453" s="4" t="s">
        <v>698</v>
      </c>
      <c r="D453" s="4">
        <v>68.535899999999998</v>
      </c>
    </row>
    <row r="454" spans="1:4" x14ac:dyDescent="0.2">
      <c r="A454" s="83">
        <v>552</v>
      </c>
      <c r="B454" s="4">
        <v>68.544600000000003</v>
      </c>
      <c r="C454" s="4" t="s">
        <v>698</v>
      </c>
      <c r="D454" s="4">
        <v>68.543899999999994</v>
      </c>
    </row>
    <row r="455" spans="1:4" x14ac:dyDescent="0.2">
      <c r="A455" s="83">
        <v>553</v>
      </c>
      <c r="B455" s="4">
        <v>68.552700000000002</v>
      </c>
      <c r="C455" s="4" t="s">
        <v>699</v>
      </c>
      <c r="D455" s="4">
        <v>68.551900000000003</v>
      </c>
    </row>
    <row r="456" spans="1:4" x14ac:dyDescent="0.2">
      <c r="A456" s="83">
        <v>554</v>
      </c>
      <c r="B456" s="4">
        <v>68.560900000000004</v>
      </c>
      <c r="C456" s="4" t="s">
        <v>700</v>
      </c>
      <c r="D456" s="4">
        <v>68.56</v>
      </c>
    </row>
    <row r="457" spans="1:4" x14ac:dyDescent="0.2">
      <c r="A457" s="83">
        <v>555</v>
      </c>
      <c r="B457" s="4">
        <v>68.569299999999998</v>
      </c>
      <c r="C457" s="4">
        <v>1E-3</v>
      </c>
      <c r="D457" s="4">
        <v>68.568299999999994</v>
      </c>
    </row>
    <row r="458" spans="1:4" x14ac:dyDescent="0.2">
      <c r="A458" s="83">
        <v>556</v>
      </c>
      <c r="B458" s="4">
        <v>68.576700000000002</v>
      </c>
      <c r="C458" s="4" t="s">
        <v>701</v>
      </c>
      <c r="D458" s="4">
        <v>68.575599999999994</v>
      </c>
    </row>
    <row r="459" spans="1:4" x14ac:dyDescent="0.2">
      <c r="A459" s="83">
        <v>557</v>
      </c>
      <c r="B459" s="4">
        <v>68.584299999999999</v>
      </c>
      <c r="C459" s="4" t="s">
        <v>702</v>
      </c>
      <c r="D459" s="4">
        <v>68.583100000000002</v>
      </c>
    </row>
    <row r="460" spans="1:4" x14ac:dyDescent="0.2">
      <c r="A460" s="83">
        <v>558</v>
      </c>
      <c r="B460" s="4">
        <v>68.591899999999995</v>
      </c>
      <c r="C460" s="4" t="s">
        <v>703</v>
      </c>
      <c r="D460" s="4">
        <v>68.590599999999995</v>
      </c>
    </row>
    <row r="461" spans="1:4" x14ac:dyDescent="0.2">
      <c r="A461" s="83">
        <v>559</v>
      </c>
      <c r="B461" s="4">
        <v>68.599800000000002</v>
      </c>
      <c r="C461" s="4" t="s">
        <v>704</v>
      </c>
      <c r="D461" s="4">
        <v>68.598399999999998</v>
      </c>
    </row>
    <row r="462" spans="1:4" x14ac:dyDescent="0.2">
      <c r="A462" s="83">
        <v>560</v>
      </c>
      <c r="B462" s="4">
        <v>68.607699999999994</v>
      </c>
      <c r="C462" s="4" t="s">
        <v>705</v>
      </c>
      <c r="D462" s="4">
        <v>68.606099999999998</v>
      </c>
    </row>
    <row r="463" spans="1:4" x14ac:dyDescent="0.2">
      <c r="A463" s="83">
        <v>561</v>
      </c>
      <c r="B463" s="4">
        <v>68.614699999999999</v>
      </c>
      <c r="C463" s="4" t="s">
        <v>706</v>
      </c>
      <c r="D463" s="4">
        <v>68.613</v>
      </c>
    </row>
    <row r="464" spans="1:4" x14ac:dyDescent="0.2">
      <c r="A464" s="83">
        <v>562</v>
      </c>
      <c r="B464" s="4">
        <v>68.621799999999993</v>
      </c>
      <c r="C464" s="4" t="s">
        <v>707</v>
      </c>
      <c r="D464" s="4">
        <v>68.619900000000001</v>
      </c>
    </row>
    <row r="465" spans="1:4" x14ac:dyDescent="0.2">
      <c r="A465" s="83">
        <v>563</v>
      </c>
      <c r="B465" s="4" t="s">
        <v>708</v>
      </c>
      <c r="C465" s="4" t="s">
        <v>709</v>
      </c>
      <c r="D465" s="4">
        <v>68.626900000000006</v>
      </c>
    </row>
    <row r="466" spans="1:4" x14ac:dyDescent="0.2">
      <c r="A466" s="83">
        <v>564</v>
      </c>
      <c r="B466" s="4">
        <v>68.636300000000006</v>
      </c>
      <c r="C466" s="4" t="s">
        <v>710</v>
      </c>
      <c r="D466" s="4">
        <v>68.634100000000004</v>
      </c>
    </row>
    <row r="467" spans="1:4" x14ac:dyDescent="0.2">
      <c r="A467" s="83">
        <v>565</v>
      </c>
      <c r="B467" s="4">
        <v>68.643799999999999</v>
      </c>
      <c r="C467" s="4" t="s">
        <v>711</v>
      </c>
      <c r="D467" s="4">
        <v>68.641300000000001</v>
      </c>
    </row>
    <row r="468" spans="1:4" x14ac:dyDescent="0.2">
      <c r="A468" s="83">
        <v>566</v>
      </c>
      <c r="B468" s="4">
        <v>68.650400000000005</v>
      </c>
      <c r="C468" s="4" t="s">
        <v>712</v>
      </c>
      <c r="D468" s="4">
        <v>68.6477</v>
      </c>
    </row>
    <row r="469" spans="1:4" x14ac:dyDescent="0.2">
      <c r="A469" s="83">
        <v>567</v>
      </c>
      <c r="B469" s="4">
        <v>68.6571</v>
      </c>
      <c r="C469" s="4" t="s">
        <v>713</v>
      </c>
      <c r="D469" s="4">
        <v>68.654200000000003</v>
      </c>
    </row>
    <row r="470" spans="1:4" x14ac:dyDescent="0.2">
      <c r="A470" s="83">
        <v>568</v>
      </c>
      <c r="B470" s="4" t="s">
        <v>714</v>
      </c>
      <c r="C470" s="4" t="s">
        <v>715</v>
      </c>
      <c r="D470" s="4">
        <v>68.660799999999995</v>
      </c>
    </row>
    <row r="471" spans="1:4" x14ac:dyDescent="0.2">
      <c r="A471" s="83">
        <v>569</v>
      </c>
      <c r="B471" s="4" t="s">
        <v>716</v>
      </c>
      <c r="C471" s="4" t="s">
        <v>717</v>
      </c>
      <c r="D471" s="4">
        <v>68.667599999999993</v>
      </c>
    </row>
    <row r="472" spans="1:4" x14ac:dyDescent="0.2">
      <c r="A472" s="83">
        <v>570</v>
      </c>
      <c r="B472" s="4">
        <v>68.678100000000001</v>
      </c>
      <c r="C472" s="4" t="s">
        <v>718</v>
      </c>
      <c r="D472" s="4">
        <v>68.674400000000006</v>
      </c>
    </row>
    <row r="473" spans="1:4" x14ac:dyDescent="0.2">
      <c r="A473" s="83">
        <v>571</v>
      </c>
      <c r="B473" s="4">
        <v>68.684399999999997</v>
      </c>
      <c r="C473" s="4" t="s">
        <v>719</v>
      </c>
      <c r="D473" s="4">
        <v>68.680300000000003</v>
      </c>
    </row>
    <row r="474" spans="1:4" x14ac:dyDescent="0.2">
      <c r="A474" s="83">
        <v>572</v>
      </c>
      <c r="B474" s="4">
        <v>68.690899999999999</v>
      </c>
      <c r="C474" s="4" t="s">
        <v>720</v>
      </c>
      <c r="D474" s="4">
        <v>68.686499999999995</v>
      </c>
    </row>
    <row r="475" spans="1:4" x14ac:dyDescent="0.2">
      <c r="A475" s="83">
        <v>573</v>
      </c>
      <c r="B475" s="4">
        <v>68.697400000000002</v>
      </c>
      <c r="C475" s="4" t="s">
        <v>721</v>
      </c>
      <c r="D475" s="4">
        <v>68.692599999999999</v>
      </c>
    </row>
    <row r="476" spans="1:4" x14ac:dyDescent="0.2">
      <c r="A476" s="83">
        <v>574</v>
      </c>
      <c r="B476" s="4">
        <v>68.704099999999997</v>
      </c>
      <c r="C476" s="4" t="s">
        <v>722</v>
      </c>
      <c r="D476" s="4">
        <v>68.698899999999995</v>
      </c>
    </row>
    <row r="477" spans="1:4" x14ac:dyDescent="0.2">
      <c r="A477" s="83">
        <v>575</v>
      </c>
      <c r="B477" s="4">
        <v>68.710899999999995</v>
      </c>
      <c r="C477" s="4" t="s">
        <v>723</v>
      </c>
      <c r="D477" s="4">
        <v>68.705299999999994</v>
      </c>
    </row>
    <row r="478" spans="1:4" x14ac:dyDescent="0.2">
      <c r="A478" s="83">
        <v>576</v>
      </c>
      <c r="B478" s="4">
        <v>68.716899999999995</v>
      </c>
      <c r="C478" s="4">
        <v>6.0000000000000001E-3</v>
      </c>
      <c r="D478" s="4">
        <v>68.710899999999995</v>
      </c>
    </row>
    <row r="479" spans="1:4" x14ac:dyDescent="0.2">
      <c r="A479" s="83">
        <v>577</v>
      </c>
      <c r="B479" s="4" t="s">
        <v>724</v>
      </c>
      <c r="C479" s="4" t="s">
        <v>725</v>
      </c>
      <c r="D479" s="4">
        <v>68.716499999999996</v>
      </c>
    </row>
    <row r="480" spans="1:4" x14ac:dyDescent="0.2">
      <c r="A480" s="83">
        <v>578</v>
      </c>
      <c r="B480" s="4">
        <v>68.729200000000006</v>
      </c>
      <c r="C480" s="4">
        <v>7.0000000000000001E-3</v>
      </c>
      <c r="D480" s="4">
        <v>68.722200000000001</v>
      </c>
    </row>
    <row r="481" spans="1:4" x14ac:dyDescent="0.2">
      <c r="A481" s="83">
        <v>579</v>
      </c>
      <c r="B481" s="4">
        <v>68.735500000000002</v>
      </c>
      <c r="C481" s="4" t="s">
        <v>726</v>
      </c>
      <c r="D481" s="4">
        <v>68.727900000000005</v>
      </c>
    </row>
    <row r="482" spans="1:4" x14ac:dyDescent="0.2">
      <c r="A482" s="83">
        <v>580</v>
      </c>
      <c r="B482" s="4">
        <v>68.741900000000001</v>
      </c>
      <c r="C482" s="4" t="s">
        <v>727</v>
      </c>
      <c r="D482" s="4">
        <v>68.733699999999999</v>
      </c>
    </row>
    <row r="483" spans="1:4" x14ac:dyDescent="0.2">
      <c r="A483" s="83">
        <v>581</v>
      </c>
      <c r="B483" s="4">
        <v>68.747600000000006</v>
      </c>
      <c r="C483" s="4" t="s">
        <v>728</v>
      </c>
      <c r="D483" s="4">
        <v>68.738799999999998</v>
      </c>
    </row>
    <row r="484" spans="1:4" x14ac:dyDescent="0.2">
      <c r="A484" s="83">
        <v>582</v>
      </c>
      <c r="B484" s="4">
        <v>68.753500000000003</v>
      </c>
      <c r="C484" s="4" t="s">
        <v>729</v>
      </c>
      <c r="D484" s="4">
        <v>68.744</v>
      </c>
    </row>
    <row r="485" spans="1:4" x14ac:dyDescent="0.2">
      <c r="A485" s="83">
        <v>583</v>
      </c>
      <c r="B485" s="4">
        <v>68.759399999999999</v>
      </c>
      <c r="C485" s="4" t="s">
        <v>730</v>
      </c>
      <c r="D485" s="4">
        <v>68.749200000000002</v>
      </c>
    </row>
    <row r="486" spans="1:4" x14ac:dyDescent="0.2">
      <c r="A486" s="83">
        <v>584</v>
      </c>
      <c r="B486" s="4">
        <v>68.7654</v>
      </c>
      <c r="C486" s="4" t="s">
        <v>731</v>
      </c>
      <c r="D486" s="4">
        <v>68.754499999999993</v>
      </c>
    </row>
    <row r="487" spans="1:4" x14ac:dyDescent="0.2">
      <c r="A487" s="83">
        <v>585</v>
      </c>
      <c r="B487" s="4">
        <v>68.771600000000007</v>
      </c>
      <c r="C487" s="4" t="s">
        <v>732</v>
      </c>
      <c r="D487" s="4">
        <v>68.759799999999998</v>
      </c>
    </row>
    <row r="488" spans="1:4" x14ac:dyDescent="0.2">
      <c r="A488" s="83">
        <v>586</v>
      </c>
      <c r="B488" s="4" t="s">
        <v>733</v>
      </c>
      <c r="C488" s="4" t="s">
        <v>734</v>
      </c>
      <c r="D488" s="4">
        <v>68.764399999999995</v>
      </c>
    </row>
    <row r="489" spans="1:4" x14ac:dyDescent="0.2">
      <c r="A489" s="83">
        <v>587</v>
      </c>
      <c r="B489" s="4">
        <v>68.782499999999999</v>
      </c>
      <c r="C489" s="4" t="s">
        <v>735</v>
      </c>
      <c r="D489" s="4">
        <v>68.769000000000005</v>
      </c>
    </row>
    <row r="490" spans="1:4" x14ac:dyDescent="0.2">
      <c r="A490" s="83">
        <v>588</v>
      </c>
      <c r="B490" s="4">
        <v>68.7881</v>
      </c>
      <c r="C490" s="4" t="s">
        <v>736</v>
      </c>
      <c r="D490" s="4">
        <v>68.773600000000002</v>
      </c>
    </row>
    <row r="491" spans="1:4" x14ac:dyDescent="0.2">
      <c r="A491" s="83">
        <v>589</v>
      </c>
      <c r="B491" s="4">
        <v>68.793800000000005</v>
      </c>
      <c r="C491" s="4" t="s">
        <v>737</v>
      </c>
      <c r="D491" s="4">
        <v>68.778300000000002</v>
      </c>
    </row>
    <row r="492" spans="1:4" x14ac:dyDescent="0.2">
      <c r="A492" s="83">
        <v>590</v>
      </c>
      <c r="B492" s="4">
        <v>68.799700000000001</v>
      </c>
      <c r="C492" s="4" t="s">
        <v>738</v>
      </c>
      <c r="D492" s="4">
        <v>68.783100000000005</v>
      </c>
    </row>
    <row r="493" spans="1:4" x14ac:dyDescent="0.2">
      <c r="A493" s="83">
        <v>591</v>
      </c>
      <c r="B493" s="4" t="s">
        <v>739</v>
      </c>
      <c r="C493" s="4" t="s">
        <v>740</v>
      </c>
      <c r="D493" s="4">
        <v>68.787199999999999</v>
      </c>
    </row>
    <row r="494" spans="1:4" x14ac:dyDescent="0.2">
      <c r="A494" s="83">
        <v>592</v>
      </c>
      <c r="B494" s="4">
        <v>68.810299999999998</v>
      </c>
      <c r="C494" s="4">
        <v>1.9E-2</v>
      </c>
      <c r="D494" s="4">
        <v>68.791300000000007</v>
      </c>
    </row>
    <row r="495" spans="1:4" x14ac:dyDescent="0.2">
      <c r="A495" s="83">
        <v>593</v>
      </c>
      <c r="B495" s="4">
        <v>68.815799999999996</v>
      </c>
      <c r="C495" s="4" t="s">
        <v>741</v>
      </c>
      <c r="D495" s="4">
        <v>68.795500000000004</v>
      </c>
    </row>
    <row r="496" spans="1:4" x14ac:dyDescent="0.2">
      <c r="A496" s="83">
        <v>594</v>
      </c>
      <c r="B496" s="4">
        <v>68.821399999999997</v>
      </c>
      <c r="C496" s="4" t="s">
        <v>742</v>
      </c>
      <c r="D496" s="4">
        <v>68.799700000000001</v>
      </c>
    </row>
    <row r="497" spans="1:4" x14ac:dyDescent="0.2">
      <c r="A497" s="83">
        <v>595</v>
      </c>
      <c r="B497" s="4">
        <v>68.827100000000002</v>
      </c>
      <c r="C497" s="4" t="s">
        <v>743</v>
      </c>
      <c r="D497" s="4">
        <v>68.803899999999999</v>
      </c>
    </row>
    <row r="498" spans="1:4" x14ac:dyDescent="0.2">
      <c r="A498" s="83">
        <v>596</v>
      </c>
      <c r="B498" s="4" t="s">
        <v>744</v>
      </c>
      <c r="C498" s="4" t="s">
        <v>745</v>
      </c>
      <c r="D498" s="4">
        <v>68.807299999999998</v>
      </c>
    </row>
    <row r="499" spans="1:4" x14ac:dyDescent="0.2">
      <c r="A499" s="83">
        <v>597</v>
      </c>
      <c r="B499" s="4" t="s">
        <v>746</v>
      </c>
      <c r="C499" s="4" t="s">
        <v>747</v>
      </c>
      <c r="D499" s="4">
        <v>68.810699999999997</v>
      </c>
    </row>
    <row r="500" spans="1:4" x14ac:dyDescent="0.2">
      <c r="A500" s="83">
        <v>598</v>
      </c>
      <c r="B500" s="4">
        <v>68.842100000000002</v>
      </c>
      <c r="C500" s="4">
        <v>2.8000000000000001E-2</v>
      </c>
      <c r="D500" s="4">
        <v>68.814099999999996</v>
      </c>
    </row>
    <row r="501" spans="1:4" x14ac:dyDescent="0.2">
      <c r="A501" s="83">
        <v>599</v>
      </c>
      <c r="B501" s="4">
        <v>68.847200000000001</v>
      </c>
      <c r="C501" s="4" t="s">
        <v>748</v>
      </c>
      <c r="D501" s="4">
        <v>68.817300000000003</v>
      </c>
    </row>
    <row r="502" spans="1:4" x14ac:dyDescent="0.2">
      <c r="A502" s="83">
        <v>600</v>
      </c>
      <c r="B502" s="4">
        <v>68.852500000000006</v>
      </c>
      <c r="C502" s="4" t="s">
        <v>749</v>
      </c>
      <c r="D502" s="4">
        <v>68.820700000000002</v>
      </c>
    </row>
    <row r="503" spans="1:4" x14ac:dyDescent="0.2">
      <c r="A503" s="83">
        <v>601</v>
      </c>
      <c r="B503" s="4">
        <v>68.857600000000005</v>
      </c>
      <c r="C503" s="4" t="s">
        <v>750</v>
      </c>
      <c r="D503" s="4">
        <v>68.823800000000006</v>
      </c>
    </row>
    <row r="504" spans="1:4" x14ac:dyDescent="0.2">
      <c r="A504" s="83">
        <v>602</v>
      </c>
      <c r="B504" s="4">
        <v>68.862700000000004</v>
      </c>
      <c r="C504" s="4" t="s">
        <v>751</v>
      </c>
      <c r="D504" s="4">
        <v>68.826800000000006</v>
      </c>
    </row>
    <row r="505" spans="1:4" x14ac:dyDescent="0.2">
      <c r="A505" s="83">
        <v>603</v>
      </c>
      <c r="B505" s="4">
        <v>68.867900000000006</v>
      </c>
      <c r="C505" s="4" t="s">
        <v>752</v>
      </c>
      <c r="D505" s="4">
        <v>68.829700000000003</v>
      </c>
    </row>
    <row r="506" spans="1:4" x14ac:dyDescent="0.2">
      <c r="A506" s="83">
        <v>604</v>
      </c>
      <c r="B506" s="4">
        <v>68.873199999999997</v>
      </c>
      <c r="C506" s="4" t="s">
        <v>753</v>
      </c>
      <c r="D506" s="4">
        <v>68.832700000000003</v>
      </c>
    </row>
    <row r="507" spans="1:4" x14ac:dyDescent="0.2">
      <c r="A507" s="83">
        <v>605</v>
      </c>
      <c r="B507" s="4">
        <v>68.878600000000006</v>
      </c>
      <c r="C507" s="4" t="s">
        <v>754</v>
      </c>
      <c r="D507" s="4">
        <v>68.835499999999996</v>
      </c>
    </row>
    <row r="508" spans="1:4" x14ac:dyDescent="0.2">
      <c r="A508" s="83">
        <v>606</v>
      </c>
      <c r="B508" s="4">
        <v>68.883399999999995</v>
      </c>
      <c r="C508" s="4" t="s">
        <v>755</v>
      </c>
      <c r="D508" s="4">
        <v>68.837800000000001</v>
      </c>
    </row>
    <row r="509" spans="1:4" x14ac:dyDescent="0.2">
      <c r="A509" s="83">
        <v>607</v>
      </c>
      <c r="B509" s="4">
        <v>68.888300000000001</v>
      </c>
      <c r="C509" s="4" t="s">
        <v>756</v>
      </c>
      <c r="D509" s="4">
        <v>68.8399</v>
      </c>
    </row>
    <row r="510" spans="1:4" x14ac:dyDescent="0.2">
      <c r="A510" s="83">
        <v>608</v>
      </c>
      <c r="B510" s="4">
        <v>68.8934</v>
      </c>
      <c r="C510" s="4" t="s">
        <v>757</v>
      </c>
      <c r="D510" s="4">
        <v>68.842100000000002</v>
      </c>
    </row>
    <row r="511" spans="1:4" x14ac:dyDescent="0.2">
      <c r="A511" s="83">
        <v>609</v>
      </c>
      <c r="B511" s="4">
        <v>68.898499999999999</v>
      </c>
      <c r="C511" s="4" t="s">
        <v>758</v>
      </c>
      <c r="D511" s="4">
        <v>68.844200000000001</v>
      </c>
    </row>
    <row r="512" spans="1:4" x14ac:dyDescent="0.2">
      <c r="A512" s="83">
        <v>610</v>
      </c>
      <c r="B512" s="4">
        <v>68.903599999999997</v>
      </c>
      <c r="C512" s="4" t="s">
        <v>759</v>
      </c>
      <c r="D512" s="4">
        <v>68.846100000000007</v>
      </c>
    </row>
    <row r="513" spans="1:4" x14ac:dyDescent="0.2">
      <c r="A513" s="83">
        <v>611</v>
      </c>
      <c r="B513" s="4">
        <v>68.908299999999997</v>
      </c>
      <c r="C513" s="4" t="s">
        <v>760</v>
      </c>
      <c r="D513" s="4">
        <v>68.847499999999997</v>
      </c>
    </row>
    <row r="514" spans="1:4" x14ac:dyDescent="0.2">
      <c r="A514" s="83">
        <v>612</v>
      </c>
      <c r="B514" s="4" t="s">
        <v>761</v>
      </c>
      <c r="C514" s="4" t="s">
        <v>762</v>
      </c>
      <c r="D514" s="4">
        <v>68.848699999999994</v>
      </c>
    </row>
    <row r="515" spans="1:4" x14ac:dyDescent="0.2">
      <c r="A515" s="83">
        <v>613</v>
      </c>
      <c r="B515" s="4">
        <v>68.9178</v>
      </c>
      <c r="C515" s="4">
        <v>6.8000000000000005E-2</v>
      </c>
      <c r="D515" s="4">
        <v>68.849800000000002</v>
      </c>
    </row>
    <row r="516" spans="1:4" x14ac:dyDescent="0.2">
      <c r="A516" s="83">
        <v>614</v>
      </c>
      <c r="B516" s="4">
        <v>68.922799999999995</v>
      </c>
      <c r="C516" s="4" t="s">
        <v>763</v>
      </c>
      <c r="D516" s="4">
        <v>68.850999999999999</v>
      </c>
    </row>
    <row r="517" spans="1:4" x14ac:dyDescent="0.2">
      <c r="A517" s="83">
        <v>615</v>
      </c>
      <c r="B517" s="4">
        <v>68.927800000000005</v>
      </c>
      <c r="C517" s="4" t="s">
        <v>764</v>
      </c>
      <c r="D517" s="4">
        <v>68.851900000000001</v>
      </c>
    </row>
    <row r="518" spans="1:4" x14ac:dyDescent="0.2">
      <c r="A518" s="83">
        <v>616</v>
      </c>
      <c r="B518" s="4">
        <v>68.932199999999995</v>
      </c>
      <c r="C518" s="4" t="s">
        <v>765</v>
      </c>
      <c r="D518" s="4">
        <v>68.852099999999993</v>
      </c>
    </row>
    <row r="519" spans="1:4" x14ac:dyDescent="0.2">
      <c r="A519" s="83">
        <v>617</v>
      </c>
      <c r="B519" s="4">
        <v>68.936700000000002</v>
      </c>
      <c r="C519" s="4" t="s">
        <v>766</v>
      </c>
      <c r="D519" s="4">
        <v>68.8523</v>
      </c>
    </row>
    <row r="520" spans="1:4" x14ac:dyDescent="0.2">
      <c r="A520" s="83">
        <v>618</v>
      </c>
      <c r="B520" s="4">
        <v>68.941400000000002</v>
      </c>
      <c r="C520" s="4">
        <v>8.8999999999999996E-2</v>
      </c>
      <c r="D520" s="4">
        <v>68.852400000000003</v>
      </c>
    </row>
    <row r="521" spans="1:4" x14ac:dyDescent="0.2">
      <c r="A521" s="83">
        <v>619</v>
      </c>
      <c r="B521" s="4">
        <v>68.946100000000001</v>
      </c>
      <c r="C521" s="4" t="s">
        <v>767</v>
      </c>
      <c r="D521" s="4">
        <v>68.852199999999996</v>
      </c>
    </row>
    <row r="522" spans="1:4" x14ac:dyDescent="0.2">
      <c r="A522" s="83">
        <v>620</v>
      </c>
      <c r="B522" s="4">
        <v>68.950800000000001</v>
      </c>
      <c r="C522" s="4">
        <v>9.9000000000000005E-2</v>
      </c>
      <c r="D522" s="4">
        <v>68.851799999999997</v>
      </c>
    </row>
    <row r="523" spans="1:4" x14ac:dyDescent="0.2">
      <c r="A523" s="83">
        <v>621</v>
      </c>
      <c r="B523" s="4">
        <v>68.955100000000002</v>
      </c>
      <c r="C523" s="4" t="s">
        <v>768</v>
      </c>
      <c r="D523" s="4">
        <v>68.850899999999996</v>
      </c>
    </row>
    <row r="524" spans="1:4" x14ac:dyDescent="0.2">
      <c r="A524" s="83">
        <v>622</v>
      </c>
      <c r="B524" s="4">
        <v>68.959400000000002</v>
      </c>
      <c r="C524" s="4" t="s">
        <v>769</v>
      </c>
      <c r="D524" s="4">
        <v>68.849800000000002</v>
      </c>
    </row>
    <row r="525" spans="1:4" x14ac:dyDescent="0.2">
      <c r="A525" s="83">
        <v>623</v>
      </c>
      <c r="B525" s="4">
        <v>68.963800000000006</v>
      </c>
      <c r="C525" s="4" t="s">
        <v>770</v>
      </c>
      <c r="D525" s="4">
        <v>68.848399999999998</v>
      </c>
    </row>
    <row r="526" spans="1:4" x14ac:dyDescent="0.2">
      <c r="A526" s="83">
        <v>624</v>
      </c>
      <c r="B526" s="4">
        <v>68.968299999999999</v>
      </c>
      <c r="C526" s="4" t="s">
        <v>771</v>
      </c>
      <c r="D526" s="4">
        <v>68.846900000000005</v>
      </c>
    </row>
    <row r="527" spans="1:4" x14ac:dyDescent="0.2">
      <c r="A527" s="83">
        <v>625</v>
      </c>
      <c r="B527" s="4">
        <v>68.972899999999996</v>
      </c>
      <c r="C527" s="4" t="s">
        <v>772</v>
      </c>
      <c r="D527" s="4">
        <v>68.845200000000006</v>
      </c>
    </row>
    <row r="528" spans="1:4" x14ac:dyDescent="0.2">
      <c r="A528" s="83">
        <v>626</v>
      </c>
      <c r="B528" s="4" t="s">
        <v>773</v>
      </c>
      <c r="C528" s="4" t="s">
        <v>774</v>
      </c>
      <c r="D528" s="4">
        <v>68.8429</v>
      </c>
    </row>
    <row r="529" spans="1:4" x14ac:dyDescent="0.2">
      <c r="A529" s="83">
        <v>627</v>
      </c>
      <c r="B529" s="4">
        <v>68.981200000000001</v>
      </c>
      <c r="C529" s="4" t="s">
        <v>775</v>
      </c>
      <c r="D529" s="4">
        <v>68.840400000000002</v>
      </c>
    </row>
    <row r="530" spans="1:4" x14ac:dyDescent="0.2">
      <c r="A530" s="83">
        <v>628</v>
      </c>
      <c r="B530" s="4">
        <v>68.985500000000002</v>
      </c>
      <c r="C530" s="4" t="s">
        <v>776</v>
      </c>
      <c r="D530" s="4">
        <v>68.837599999999995</v>
      </c>
    </row>
    <row r="531" spans="1:4" x14ac:dyDescent="0.2">
      <c r="A531" s="83">
        <v>629</v>
      </c>
      <c r="B531" s="4">
        <v>68.989900000000006</v>
      </c>
      <c r="C531" s="4" t="s">
        <v>777</v>
      </c>
      <c r="D531" s="4">
        <v>68.834699999999998</v>
      </c>
    </row>
    <row r="532" spans="1:4" x14ac:dyDescent="0.2">
      <c r="A532" s="83">
        <v>630</v>
      </c>
      <c r="B532" s="4">
        <v>68.994299999999996</v>
      </c>
      <c r="C532" s="4">
        <v>0.16300000000000001</v>
      </c>
      <c r="D532" s="4">
        <v>68.831299999999999</v>
      </c>
    </row>
    <row r="533" spans="1:4" x14ac:dyDescent="0.2">
      <c r="A533" s="83">
        <v>631</v>
      </c>
      <c r="B533" s="4">
        <v>68.998199999999997</v>
      </c>
      <c r="C533" s="4" t="s">
        <v>778</v>
      </c>
      <c r="D533" s="4">
        <v>68.827399999999997</v>
      </c>
    </row>
    <row r="534" spans="1:4" x14ac:dyDescent="0.2">
      <c r="A534" s="83">
        <v>632</v>
      </c>
      <c r="B534" s="4">
        <v>69.002200000000002</v>
      </c>
      <c r="C534" s="4">
        <v>0.17899999999999999</v>
      </c>
      <c r="D534" s="4">
        <v>68.8232</v>
      </c>
    </row>
    <row r="535" spans="1:4" x14ac:dyDescent="0.2">
      <c r="A535" s="83">
        <v>633</v>
      </c>
      <c r="B535" s="4">
        <v>69.006299999999996</v>
      </c>
      <c r="C535" s="4" t="s">
        <v>779</v>
      </c>
      <c r="D535" s="4">
        <v>68.818700000000007</v>
      </c>
    </row>
    <row r="536" spans="1:4" x14ac:dyDescent="0.2">
      <c r="A536" s="83">
        <v>634</v>
      </c>
      <c r="B536" s="4">
        <v>69.010400000000004</v>
      </c>
      <c r="C536" s="4" t="s">
        <v>780</v>
      </c>
      <c r="D536" s="4">
        <v>68.813800000000001</v>
      </c>
    </row>
    <row r="537" spans="1:4" x14ac:dyDescent="0.2">
      <c r="A537" s="83">
        <v>635</v>
      </c>
      <c r="B537" s="4">
        <v>69.014700000000005</v>
      </c>
      <c r="C537" s="4">
        <v>0.20599999999999999</v>
      </c>
      <c r="D537" s="4">
        <v>68.808700000000002</v>
      </c>
    </row>
    <row r="538" spans="1:4" x14ac:dyDescent="0.2">
      <c r="A538" s="83">
        <v>636</v>
      </c>
      <c r="B538" s="4">
        <v>69.018500000000003</v>
      </c>
      <c r="C538" s="4" t="s">
        <v>781</v>
      </c>
      <c r="D538" s="4">
        <v>68.802999999999997</v>
      </c>
    </row>
    <row r="539" spans="1:4" x14ac:dyDescent="0.2">
      <c r="A539" s="83">
        <v>637</v>
      </c>
      <c r="B539" s="4">
        <v>69.022400000000005</v>
      </c>
      <c r="C539" s="4" t="s">
        <v>782</v>
      </c>
      <c r="D539" s="4">
        <v>68.796999999999997</v>
      </c>
    </row>
    <row r="540" spans="1:4" x14ac:dyDescent="0.2">
      <c r="A540" s="83">
        <v>638</v>
      </c>
      <c r="B540" s="4">
        <v>69.026300000000006</v>
      </c>
      <c r="C540" s="4" t="s">
        <v>783</v>
      </c>
      <c r="D540" s="4">
        <v>68.790499999999994</v>
      </c>
    </row>
    <row r="541" spans="1:4" x14ac:dyDescent="0.2">
      <c r="A541" s="83">
        <v>639</v>
      </c>
      <c r="B541" s="4">
        <v>69.030299999999997</v>
      </c>
      <c r="C541" s="4" t="s">
        <v>784</v>
      </c>
      <c r="D541" s="4">
        <v>68.783699999999996</v>
      </c>
    </row>
    <row r="542" spans="1:4" x14ac:dyDescent="0.2">
      <c r="A542" s="83">
        <v>640</v>
      </c>
      <c r="B542" s="4">
        <v>69.034400000000005</v>
      </c>
      <c r="C542" s="4" t="s">
        <v>785</v>
      </c>
      <c r="D542" s="4">
        <v>68.776499999999999</v>
      </c>
    </row>
    <row r="543" spans="1:4" x14ac:dyDescent="0.2">
      <c r="A543" s="83">
        <v>641</v>
      </c>
      <c r="B543" s="4">
        <v>69.0381</v>
      </c>
      <c r="C543" s="4" t="s">
        <v>786</v>
      </c>
      <c r="D543" s="4">
        <v>68.768799999999999</v>
      </c>
    </row>
    <row r="544" spans="1:4" x14ac:dyDescent="0.2">
      <c r="A544" s="83">
        <v>642</v>
      </c>
      <c r="B544" s="4">
        <v>69.041799999999995</v>
      </c>
      <c r="C544" s="4" t="s">
        <v>787</v>
      </c>
      <c r="D544" s="4">
        <v>68.760599999999997</v>
      </c>
    </row>
    <row r="545" spans="1:4" x14ac:dyDescent="0.2">
      <c r="A545" s="83">
        <v>643</v>
      </c>
      <c r="B545" s="4">
        <v>69.045599999999993</v>
      </c>
      <c r="C545" s="4" t="s">
        <v>788</v>
      </c>
      <c r="D545" s="4">
        <v>68.751999999999995</v>
      </c>
    </row>
    <row r="546" spans="1:4" x14ac:dyDescent="0.2">
      <c r="A546" s="83">
        <v>644</v>
      </c>
      <c r="B546" s="4">
        <v>69.049400000000006</v>
      </c>
      <c r="C546" s="4" t="s">
        <v>789</v>
      </c>
      <c r="D546" s="4">
        <v>68.742900000000006</v>
      </c>
    </row>
    <row r="547" spans="1:4" x14ac:dyDescent="0.2">
      <c r="A547" s="83">
        <v>645</v>
      </c>
      <c r="B547" s="4">
        <v>69.053299999999993</v>
      </c>
      <c r="C547" s="4" t="s">
        <v>790</v>
      </c>
      <c r="D547" s="4">
        <v>68.733400000000003</v>
      </c>
    </row>
    <row r="548" spans="1:4" x14ac:dyDescent="0.2">
      <c r="A548" s="83">
        <v>646</v>
      </c>
      <c r="B548" s="4">
        <v>69.056899999999999</v>
      </c>
      <c r="C548" s="4" t="s">
        <v>791</v>
      </c>
      <c r="D548" s="4">
        <v>68.723399999999998</v>
      </c>
    </row>
    <row r="549" spans="1:4" x14ac:dyDescent="0.2">
      <c r="A549" s="83">
        <v>647</v>
      </c>
      <c r="B549" s="4">
        <v>69.060500000000005</v>
      </c>
      <c r="C549" s="4" t="s">
        <v>792</v>
      </c>
      <c r="D549" s="4">
        <v>68.712800000000001</v>
      </c>
    </row>
    <row r="550" spans="1:4" x14ac:dyDescent="0.2">
      <c r="A550" s="83">
        <v>648</v>
      </c>
      <c r="B550" s="4">
        <v>69.0642</v>
      </c>
      <c r="C550" s="4" t="s">
        <v>793</v>
      </c>
      <c r="D550" s="4">
        <v>68.701800000000006</v>
      </c>
    </row>
    <row r="551" spans="1:4" x14ac:dyDescent="0.2">
      <c r="A551" s="83">
        <v>649</v>
      </c>
      <c r="B551" s="4" t="s">
        <v>794</v>
      </c>
      <c r="C551" s="4" t="s">
        <v>795</v>
      </c>
      <c r="D551" s="4">
        <v>68.690299999999993</v>
      </c>
    </row>
    <row r="552" spans="1:4" x14ac:dyDescent="0.2">
      <c r="A552" s="83">
        <v>650</v>
      </c>
      <c r="B552" s="4">
        <v>69.071799999999996</v>
      </c>
      <c r="C552" s="4" t="s">
        <v>796</v>
      </c>
      <c r="D552" s="4">
        <v>68.678200000000004</v>
      </c>
    </row>
    <row r="553" spans="1:4" x14ac:dyDescent="0.2">
      <c r="A553" s="83">
        <v>651</v>
      </c>
      <c r="B553" s="4">
        <v>69.075199999999995</v>
      </c>
      <c r="C553" s="4" t="s">
        <v>797</v>
      </c>
      <c r="D553" s="4">
        <v>68.665599999999998</v>
      </c>
    </row>
    <row r="554" spans="1:4" x14ac:dyDescent="0.2">
      <c r="A554" s="83">
        <v>652</v>
      </c>
      <c r="B554" s="4">
        <v>69.078699999999998</v>
      </c>
      <c r="C554" s="4" t="s">
        <v>798</v>
      </c>
      <c r="D554" s="4">
        <v>68.6524</v>
      </c>
    </row>
    <row r="555" spans="1:4" x14ac:dyDescent="0.2">
      <c r="A555" s="83">
        <v>653</v>
      </c>
      <c r="B555" s="4">
        <v>69.082300000000004</v>
      </c>
      <c r="C555" s="4" t="s">
        <v>799</v>
      </c>
      <c r="D555" s="4">
        <v>68.6387</v>
      </c>
    </row>
    <row r="556" spans="1:4" x14ac:dyDescent="0.2">
      <c r="A556" s="83">
        <v>654</v>
      </c>
      <c r="B556" s="4">
        <v>69.085899999999995</v>
      </c>
      <c r="C556" s="4" t="s">
        <v>800</v>
      </c>
      <c r="D556" s="4">
        <v>68.624399999999994</v>
      </c>
    </row>
    <row r="557" spans="1:4" x14ac:dyDescent="0.2">
      <c r="A557" s="83">
        <v>655</v>
      </c>
      <c r="B557" s="4">
        <v>69.089600000000004</v>
      </c>
      <c r="C557" s="4" t="s">
        <v>801</v>
      </c>
      <c r="D557" s="4">
        <v>68.609499999999997</v>
      </c>
    </row>
    <row r="558" spans="1:4" x14ac:dyDescent="0.2">
      <c r="A558" s="83">
        <v>656</v>
      </c>
      <c r="B558" s="4">
        <v>69.0929</v>
      </c>
      <c r="C558" s="4" t="s">
        <v>802</v>
      </c>
      <c r="D558" s="4">
        <v>68.593999999999994</v>
      </c>
    </row>
    <row r="559" spans="1:4" x14ac:dyDescent="0.2">
      <c r="A559" s="83">
        <v>657</v>
      </c>
      <c r="B559" s="4">
        <v>69.096299999999999</v>
      </c>
      <c r="C559" s="4" t="s">
        <v>803</v>
      </c>
      <c r="D559" s="4">
        <v>68.5779</v>
      </c>
    </row>
    <row r="560" spans="1:4" x14ac:dyDescent="0.2">
      <c r="A560" s="83">
        <v>658</v>
      </c>
      <c r="B560" s="4">
        <v>69.099800000000002</v>
      </c>
      <c r="C560" s="4" t="s">
        <v>804</v>
      </c>
      <c r="D560" s="4">
        <v>68.561199999999999</v>
      </c>
    </row>
    <row r="561" spans="1:4" x14ac:dyDescent="0.2">
      <c r="A561" s="83">
        <v>659</v>
      </c>
      <c r="B561" s="4">
        <v>69.103300000000004</v>
      </c>
      <c r="C561" s="4" t="s">
        <v>805</v>
      </c>
      <c r="D561" s="4">
        <v>68.543800000000005</v>
      </c>
    </row>
    <row r="562" spans="1:4" x14ac:dyDescent="0.2">
      <c r="A562" s="83">
        <v>660</v>
      </c>
      <c r="B562" s="4">
        <v>69.106899999999996</v>
      </c>
      <c r="C562" s="4" t="s">
        <v>806</v>
      </c>
      <c r="D562" s="4">
        <v>68.525700000000001</v>
      </c>
    </row>
    <row r="563" spans="1:4" x14ac:dyDescent="0.2">
      <c r="A563" s="83">
        <v>661</v>
      </c>
      <c r="B563" s="4">
        <v>69.11</v>
      </c>
      <c r="C563" s="4">
        <v>0.60299999999999998</v>
      </c>
      <c r="D563" s="4">
        <v>68.507000000000005</v>
      </c>
    </row>
    <row r="564" spans="1:4" x14ac:dyDescent="0.2">
      <c r="A564" s="83">
        <v>662</v>
      </c>
      <c r="B564" s="4">
        <v>69.113299999999995</v>
      </c>
      <c r="C564" s="4" t="s">
        <v>807</v>
      </c>
      <c r="D564" s="4">
        <v>68.487700000000004</v>
      </c>
    </row>
    <row r="565" spans="1:4" x14ac:dyDescent="0.2">
      <c r="A565" s="83">
        <v>663</v>
      </c>
      <c r="B565" s="4">
        <v>69.116500000000002</v>
      </c>
      <c r="C565" s="4">
        <v>0.64900000000000002</v>
      </c>
      <c r="D565" s="4">
        <v>68.467500000000001</v>
      </c>
    </row>
    <row r="566" spans="1:4" x14ac:dyDescent="0.2">
      <c r="A566" s="83">
        <v>664</v>
      </c>
      <c r="B566" s="4">
        <v>69.119900000000001</v>
      </c>
      <c r="C566" s="4" t="s">
        <v>808</v>
      </c>
      <c r="D566" s="4">
        <v>68.446700000000007</v>
      </c>
    </row>
    <row r="567" spans="1:4" x14ac:dyDescent="0.2">
      <c r="A567" s="83">
        <v>665</v>
      </c>
      <c r="B567" s="4">
        <v>69.1233</v>
      </c>
      <c r="C567" s="4" t="s">
        <v>809</v>
      </c>
      <c r="D567" s="4">
        <v>68.4251</v>
      </c>
    </row>
    <row r="568" spans="1:4" x14ac:dyDescent="0.2">
      <c r="A568" s="83">
        <v>666</v>
      </c>
      <c r="B568" s="4">
        <v>69.126400000000004</v>
      </c>
      <c r="C568" s="4" t="s">
        <v>810</v>
      </c>
      <c r="D568" s="4">
        <v>68.403000000000006</v>
      </c>
    </row>
    <row r="569" spans="1:4" x14ac:dyDescent="0.2">
      <c r="A569" s="83">
        <v>667</v>
      </c>
      <c r="B569" s="4">
        <v>69.129499999999993</v>
      </c>
      <c r="C569" s="4" t="s">
        <v>811</v>
      </c>
      <c r="D569" s="4">
        <v>68.380099999999999</v>
      </c>
    </row>
    <row r="570" spans="1:4" x14ac:dyDescent="0.2">
      <c r="A570" s="83">
        <v>668</v>
      </c>
      <c r="B570" s="4">
        <v>69.1327</v>
      </c>
      <c r="C570" s="4" t="s">
        <v>812</v>
      </c>
      <c r="D570" s="4">
        <v>68.356399999999994</v>
      </c>
    </row>
    <row r="571" spans="1:4" x14ac:dyDescent="0.2">
      <c r="A571" s="83">
        <v>669</v>
      </c>
      <c r="B571" s="4" t="s">
        <v>813</v>
      </c>
      <c r="C571" s="4" t="s">
        <v>814</v>
      </c>
      <c r="D571" s="4">
        <v>68.331900000000005</v>
      </c>
    </row>
    <row r="572" spans="1:4" x14ac:dyDescent="0.2">
      <c r="A572" s="83">
        <v>670</v>
      </c>
      <c r="B572" s="4">
        <v>69.139300000000006</v>
      </c>
      <c r="C572" s="4" t="s">
        <v>815</v>
      </c>
      <c r="D572" s="4">
        <v>68.3065</v>
      </c>
    </row>
    <row r="573" spans="1:4" x14ac:dyDescent="0.2">
      <c r="A573" s="83">
        <v>671</v>
      </c>
      <c r="B573" s="4">
        <v>69.142300000000006</v>
      </c>
      <c r="C573" s="4" t="s">
        <v>816</v>
      </c>
      <c r="D573" s="4">
        <v>68.280699999999996</v>
      </c>
    </row>
    <row r="574" spans="1:4" x14ac:dyDescent="0.2">
      <c r="A574" s="83">
        <v>672</v>
      </c>
      <c r="B574" s="4">
        <v>69.145399999999995</v>
      </c>
      <c r="C574" s="4" t="s">
        <v>817</v>
      </c>
      <c r="D574" s="4">
        <v>68.254000000000005</v>
      </c>
    </row>
    <row r="575" spans="1:4" x14ac:dyDescent="0.2">
      <c r="A575" s="83">
        <v>673</v>
      </c>
      <c r="B575" s="4">
        <v>69.148499999999999</v>
      </c>
      <c r="C575" s="4" t="s">
        <v>818</v>
      </c>
      <c r="D575" s="4">
        <v>68.226399999999998</v>
      </c>
    </row>
    <row r="576" spans="1:4" x14ac:dyDescent="0.2">
      <c r="A576" s="83">
        <v>674</v>
      </c>
      <c r="B576" s="4">
        <v>69.151600000000002</v>
      </c>
      <c r="C576" s="4" t="s">
        <v>819</v>
      </c>
      <c r="D576" s="4">
        <v>68.197800000000001</v>
      </c>
    </row>
    <row r="577" spans="1:4" x14ac:dyDescent="0.2">
      <c r="A577" s="83">
        <v>675</v>
      </c>
      <c r="B577" s="4">
        <v>69.154799999999994</v>
      </c>
      <c r="C577" s="4" t="s">
        <v>820</v>
      </c>
      <c r="D577" s="4">
        <v>68.168300000000002</v>
      </c>
    </row>
    <row r="578" spans="1:4" x14ac:dyDescent="0.2">
      <c r="A578" s="83">
        <v>676</v>
      </c>
      <c r="B578" s="4">
        <v>69.157700000000006</v>
      </c>
      <c r="C578" s="4" t="s">
        <v>821</v>
      </c>
      <c r="D578" s="4">
        <v>68.138400000000004</v>
      </c>
    </row>
    <row r="579" spans="1:4" x14ac:dyDescent="0.2">
      <c r="A579" s="83">
        <v>677</v>
      </c>
      <c r="B579" s="4">
        <v>69.160700000000006</v>
      </c>
      <c r="C579" s="4" t="s">
        <v>822</v>
      </c>
      <c r="D579" s="4">
        <v>68.107600000000005</v>
      </c>
    </row>
    <row r="580" spans="1:4" x14ac:dyDescent="0.2">
      <c r="A580" s="83">
        <v>678</v>
      </c>
      <c r="B580" s="4">
        <v>69.163700000000006</v>
      </c>
      <c r="C580" s="4">
        <v>1.0880000000000001</v>
      </c>
      <c r="D580" s="4">
        <v>68.075699999999998</v>
      </c>
    </row>
    <row r="581" spans="1:4" x14ac:dyDescent="0.2">
      <c r="A581" s="83">
        <v>679</v>
      </c>
      <c r="B581" s="4">
        <v>69.166799999999995</v>
      </c>
      <c r="C581" s="4" t="s">
        <v>823</v>
      </c>
      <c r="D581" s="4">
        <v>68.042900000000003</v>
      </c>
    </row>
    <row r="582" spans="1:4" x14ac:dyDescent="0.2">
      <c r="A582" s="83">
        <v>680</v>
      </c>
      <c r="B582" s="4">
        <v>69.169899999999998</v>
      </c>
      <c r="C582" s="4" t="s">
        <v>824</v>
      </c>
      <c r="D582" s="4">
        <v>68.009100000000004</v>
      </c>
    </row>
    <row r="583" spans="1:4" x14ac:dyDescent="0.2">
      <c r="A583" s="83">
        <v>681</v>
      </c>
      <c r="B583" s="4">
        <v>69.172700000000006</v>
      </c>
      <c r="C583" s="4" t="s">
        <v>825</v>
      </c>
      <c r="D583" s="4">
        <v>67.974800000000002</v>
      </c>
    </row>
    <row r="584" spans="1:4" x14ac:dyDescent="0.2">
      <c r="A584" s="83">
        <v>682</v>
      </c>
      <c r="B584" s="4">
        <v>69.1755</v>
      </c>
      <c r="C584" s="4">
        <v>1.236</v>
      </c>
      <c r="D584" s="4">
        <v>67.939499999999995</v>
      </c>
    </row>
    <row r="585" spans="1:4" x14ac:dyDescent="0.2">
      <c r="A585" s="83">
        <v>683</v>
      </c>
      <c r="B585" s="4">
        <v>69.178399999999996</v>
      </c>
      <c r="C585" s="4" t="s">
        <v>826</v>
      </c>
      <c r="D585" s="4">
        <v>67.903199999999998</v>
      </c>
    </row>
    <row r="586" spans="1:4" x14ac:dyDescent="0.2">
      <c r="A586" s="83">
        <v>684</v>
      </c>
      <c r="B586" s="4">
        <v>69.181399999999996</v>
      </c>
      <c r="C586" s="4" t="s">
        <v>827</v>
      </c>
      <c r="D586" s="4">
        <v>67.865799999999993</v>
      </c>
    </row>
    <row r="587" spans="1:4" x14ac:dyDescent="0.2">
      <c r="A587" s="83">
        <v>685</v>
      </c>
      <c r="B587" s="4">
        <v>69.184399999999997</v>
      </c>
      <c r="C587" s="4" t="s">
        <v>828</v>
      </c>
      <c r="D587" s="4">
        <v>67.827299999999994</v>
      </c>
    </row>
    <row r="588" spans="1:4" x14ac:dyDescent="0.2">
      <c r="A588" s="83">
        <v>686</v>
      </c>
      <c r="B588" s="4">
        <v>69.187100000000001</v>
      </c>
      <c r="C588" s="4" t="s">
        <v>829</v>
      </c>
      <c r="D588" s="4">
        <v>67.788300000000007</v>
      </c>
    </row>
    <row r="589" spans="1:4" x14ac:dyDescent="0.2">
      <c r="A589" s="83">
        <v>687</v>
      </c>
      <c r="B589" s="4">
        <v>69.189899999999994</v>
      </c>
      <c r="C589" s="4" t="s">
        <v>830</v>
      </c>
      <c r="D589" s="4">
        <v>67.7483</v>
      </c>
    </row>
    <row r="590" spans="1:4" x14ac:dyDescent="0.2">
      <c r="A590" s="83">
        <v>688</v>
      </c>
      <c r="B590" s="4">
        <v>69.192800000000005</v>
      </c>
      <c r="C590" s="4" t="s">
        <v>831</v>
      </c>
      <c r="D590" s="4">
        <v>67.7072</v>
      </c>
    </row>
    <row r="591" spans="1:4" x14ac:dyDescent="0.2">
      <c r="A591" s="83">
        <v>689</v>
      </c>
      <c r="B591" s="4">
        <v>69.195700000000002</v>
      </c>
      <c r="C591" s="4" t="s">
        <v>832</v>
      </c>
      <c r="D591" s="4">
        <v>67.6648</v>
      </c>
    </row>
    <row r="592" spans="1:4" x14ac:dyDescent="0.2">
      <c r="A592" s="83">
        <v>690</v>
      </c>
      <c r="B592" s="4">
        <v>69.198599999999999</v>
      </c>
      <c r="C592" s="4" t="s">
        <v>833</v>
      </c>
      <c r="D592" s="4">
        <v>67.621200000000002</v>
      </c>
    </row>
    <row r="593" spans="1:4" x14ac:dyDescent="0.2">
      <c r="A593" s="83">
        <v>691</v>
      </c>
      <c r="B593" s="4">
        <v>69.201300000000003</v>
      </c>
      <c r="C593" s="4" t="s">
        <v>834</v>
      </c>
      <c r="D593" s="4">
        <v>67.577500000000001</v>
      </c>
    </row>
    <row r="594" spans="1:4" x14ac:dyDescent="0.2">
      <c r="A594" s="83">
        <v>692</v>
      </c>
      <c r="B594" s="4">
        <v>69.203900000000004</v>
      </c>
      <c r="C594" s="4" t="s">
        <v>835</v>
      </c>
      <c r="D594" s="4">
        <v>67.532300000000006</v>
      </c>
    </row>
    <row r="595" spans="1:4" x14ac:dyDescent="0.2">
      <c r="A595" s="83">
        <v>693</v>
      </c>
      <c r="B595" s="4">
        <v>69.206699999999998</v>
      </c>
      <c r="C595" s="4" t="s">
        <v>836</v>
      </c>
      <c r="D595" s="4">
        <v>67.486199999999997</v>
      </c>
    </row>
    <row r="596" spans="1:4" x14ac:dyDescent="0.2">
      <c r="A596" s="83">
        <v>694</v>
      </c>
      <c r="B596" s="4">
        <v>69.209500000000006</v>
      </c>
      <c r="C596" s="4" t="s">
        <v>837</v>
      </c>
      <c r="D596" s="4">
        <v>67.438699999999997</v>
      </c>
    </row>
    <row r="597" spans="1:4" x14ac:dyDescent="0.2">
      <c r="A597" s="83">
        <v>695</v>
      </c>
      <c r="B597" s="4">
        <v>69.212299999999999</v>
      </c>
      <c r="C597" s="4" t="s">
        <v>838</v>
      </c>
      <c r="D597" s="4">
        <v>67.389899999999997</v>
      </c>
    </row>
    <row r="598" spans="1:4" x14ac:dyDescent="0.2">
      <c r="A598" s="83">
        <v>696</v>
      </c>
      <c r="B598" s="4">
        <v>69.2149</v>
      </c>
      <c r="C598" s="4">
        <v>1.8740000000000001</v>
      </c>
      <c r="D598" s="4">
        <v>67.340900000000005</v>
      </c>
    </row>
    <row r="599" spans="1:4" x14ac:dyDescent="0.2">
      <c r="A599" s="83">
        <v>697</v>
      </c>
      <c r="B599" s="4">
        <v>69.217600000000004</v>
      </c>
      <c r="C599" s="4" t="s">
        <v>839</v>
      </c>
      <c r="D599" s="4">
        <v>67.290700000000001</v>
      </c>
    </row>
    <row r="600" spans="1:4" x14ac:dyDescent="0.2">
      <c r="A600" s="83">
        <v>698</v>
      </c>
      <c r="B600" s="4">
        <v>69.220200000000006</v>
      </c>
      <c r="C600" s="4" t="s">
        <v>840</v>
      </c>
      <c r="D600" s="4">
        <v>67.239000000000004</v>
      </c>
    </row>
    <row r="601" spans="1:4" x14ac:dyDescent="0.2">
      <c r="A601" s="83">
        <v>699</v>
      </c>
      <c r="B601" s="4" t="s">
        <v>841</v>
      </c>
      <c r="C601" s="4" t="s">
        <v>842</v>
      </c>
      <c r="D601" s="4">
        <v>67.186199999999999</v>
      </c>
    </row>
    <row r="602" spans="1:4" x14ac:dyDescent="0.2">
      <c r="A602" s="83">
        <v>700</v>
      </c>
      <c r="B602" s="4">
        <v>69.225800000000007</v>
      </c>
      <c r="C602" s="4" t="s">
        <v>843</v>
      </c>
      <c r="D602" s="4">
        <v>67.131900000000002</v>
      </c>
    </row>
    <row r="603" spans="1:4" x14ac:dyDescent="0.2">
      <c r="A603" s="83">
        <v>701</v>
      </c>
      <c r="B603" s="4">
        <v>69.228300000000004</v>
      </c>
      <c r="C603" s="4" t="s">
        <v>844</v>
      </c>
      <c r="D603" s="4">
        <v>67.077500000000001</v>
      </c>
    </row>
    <row r="604" spans="1:4" x14ac:dyDescent="0.2">
      <c r="A604" s="83">
        <v>702</v>
      </c>
      <c r="B604" s="4" t="s">
        <v>845</v>
      </c>
      <c r="C604" s="4" t="s">
        <v>846</v>
      </c>
      <c r="D604" s="4">
        <v>67.021900000000002</v>
      </c>
    </row>
    <row r="605" spans="1:4" x14ac:dyDescent="0.2">
      <c r="A605" s="83">
        <v>703</v>
      </c>
      <c r="B605" s="4">
        <v>69.233599999999996</v>
      </c>
      <c r="C605" s="4" t="s">
        <v>847</v>
      </c>
      <c r="D605" s="4">
        <v>66.964799999999997</v>
      </c>
    </row>
    <row r="606" spans="1:4" x14ac:dyDescent="0.2">
      <c r="A606" s="83">
        <v>704</v>
      </c>
      <c r="B606" s="4">
        <v>69.2363</v>
      </c>
      <c r="C606" s="4" t="s">
        <v>848</v>
      </c>
      <c r="D606" s="4">
        <v>66.906300000000002</v>
      </c>
    </row>
    <row r="607" spans="1:4" x14ac:dyDescent="0.2">
      <c r="A607" s="83">
        <v>705</v>
      </c>
      <c r="B607" s="4">
        <v>69.239099999999993</v>
      </c>
      <c r="C607" s="4" t="s">
        <v>849</v>
      </c>
      <c r="D607" s="4">
        <v>66.846500000000006</v>
      </c>
    </row>
    <row r="608" spans="1:4" x14ac:dyDescent="0.2">
      <c r="A608" s="83">
        <v>706</v>
      </c>
      <c r="B608" s="4">
        <v>69.241600000000005</v>
      </c>
      <c r="C608" s="4">
        <v>2.4550000000000001</v>
      </c>
      <c r="D608" s="4">
        <v>66.786600000000007</v>
      </c>
    </row>
    <row r="609" spans="1:4" x14ac:dyDescent="0.2">
      <c r="A609" s="83">
        <v>707</v>
      </c>
      <c r="B609" s="4">
        <v>69.244200000000006</v>
      </c>
      <c r="C609" s="4" t="s">
        <v>850</v>
      </c>
      <c r="D609" s="4">
        <v>66.725300000000004</v>
      </c>
    </row>
    <row r="610" spans="1:4" x14ac:dyDescent="0.2">
      <c r="A610" s="83">
        <v>708</v>
      </c>
      <c r="B610" s="4">
        <v>69.246799999999993</v>
      </c>
      <c r="C610" s="4" t="s">
        <v>851</v>
      </c>
      <c r="D610" s="4">
        <v>66.662499999999994</v>
      </c>
    </row>
    <row r="611" spans="1:4" x14ac:dyDescent="0.2">
      <c r="A611" s="83">
        <v>709</v>
      </c>
      <c r="B611" s="4">
        <v>69.249399999999994</v>
      </c>
      <c r="C611" s="4" t="s">
        <v>852</v>
      </c>
      <c r="D611" s="4">
        <v>66.598299999999995</v>
      </c>
    </row>
    <row r="612" spans="1:4" x14ac:dyDescent="0.2">
      <c r="A612" s="83">
        <v>710</v>
      </c>
      <c r="B612" s="4">
        <v>69.252099999999999</v>
      </c>
      <c r="C612" s="4" t="s">
        <v>853</v>
      </c>
      <c r="D612" s="4">
        <v>66.532600000000002</v>
      </c>
    </row>
    <row r="613" spans="1:4" x14ac:dyDescent="0.2">
      <c r="A613" s="83">
        <v>711</v>
      </c>
      <c r="B613" s="4">
        <v>69.254599999999996</v>
      </c>
      <c r="C613" s="4" t="s">
        <v>854</v>
      </c>
      <c r="D613" s="4">
        <v>66.466800000000006</v>
      </c>
    </row>
    <row r="614" spans="1:4" x14ac:dyDescent="0.2">
      <c r="A614" s="83">
        <v>712</v>
      </c>
      <c r="B614" s="4">
        <v>69.257099999999994</v>
      </c>
      <c r="C614" s="4" t="s">
        <v>855</v>
      </c>
      <c r="D614" s="4">
        <v>66.3994</v>
      </c>
    </row>
    <row r="615" spans="1:4" x14ac:dyDescent="0.2">
      <c r="A615" s="83">
        <v>713</v>
      </c>
      <c r="B615" s="4">
        <v>69.259699999999995</v>
      </c>
      <c r="C615" s="4">
        <v>2.9289999999999998</v>
      </c>
      <c r="D615" s="4">
        <v>66.330699999999993</v>
      </c>
    </row>
    <row r="616" spans="1:4" x14ac:dyDescent="0.2">
      <c r="A616" s="83">
        <v>714</v>
      </c>
      <c r="B616" s="4">
        <v>69.262299999999996</v>
      </c>
      <c r="C616" s="4">
        <v>3.0019999999999998</v>
      </c>
      <c r="D616" s="4">
        <v>66.260300000000001</v>
      </c>
    </row>
    <row r="617" spans="1:4" x14ac:dyDescent="0.2">
      <c r="A617" s="83">
        <v>715</v>
      </c>
      <c r="B617" s="4">
        <v>69.264899999999997</v>
      </c>
      <c r="C617" s="4" t="s">
        <v>856</v>
      </c>
      <c r="D617" s="4">
        <v>66.188299999999998</v>
      </c>
    </row>
    <row r="618" spans="1:4" x14ac:dyDescent="0.2">
      <c r="A618" s="83">
        <v>716</v>
      </c>
      <c r="B618" s="4">
        <v>69.267300000000006</v>
      </c>
      <c r="C618" s="4" t="s">
        <v>857</v>
      </c>
      <c r="D618" s="4">
        <v>66.116699999999994</v>
      </c>
    </row>
    <row r="619" spans="1:4" x14ac:dyDescent="0.2">
      <c r="A619" s="83">
        <v>717</v>
      </c>
      <c r="B619" s="4">
        <v>69.2697</v>
      </c>
      <c r="C619" s="4" t="s">
        <v>858</v>
      </c>
      <c r="D619" s="4">
        <v>66.043499999999995</v>
      </c>
    </row>
    <row r="620" spans="1:4" x14ac:dyDescent="0.2">
      <c r="A620" s="83">
        <v>718</v>
      </c>
      <c r="B620" s="4">
        <v>69.272199999999998</v>
      </c>
      <c r="C620" s="4" t="s">
        <v>859</v>
      </c>
      <c r="D620" s="4">
        <v>65.968800000000002</v>
      </c>
    </row>
    <row r="621" spans="1:4" x14ac:dyDescent="0.2">
      <c r="A621" s="83">
        <v>719</v>
      </c>
      <c r="B621" s="4">
        <v>69.274699999999996</v>
      </c>
      <c r="C621" s="4" t="s">
        <v>860</v>
      </c>
      <c r="D621" s="4">
        <v>65.892399999999995</v>
      </c>
    </row>
    <row r="622" spans="1:4" x14ac:dyDescent="0.2">
      <c r="A622" s="83">
        <v>720</v>
      </c>
      <c r="B622" s="4">
        <v>69.277199999999993</v>
      </c>
      <c r="C622" s="4" t="s">
        <v>861</v>
      </c>
      <c r="D622" s="4">
        <v>65.814400000000006</v>
      </c>
    </row>
    <row r="623" spans="1:4" x14ac:dyDescent="0.2">
      <c r="A623" s="83">
        <v>721</v>
      </c>
      <c r="B623" s="4">
        <v>69.279600000000002</v>
      </c>
      <c r="C623" s="4" t="s">
        <v>862</v>
      </c>
      <c r="D623" s="4">
        <v>65.736699999999999</v>
      </c>
    </row>
    <row r="624" spans="1:4" x14ac:dyDescent="0.2">
      <c r="A624" s="83">
        <v>722</v>
      </c>
      <c r="B624" s="4">
        <v>69.281899999999993</v>
      </c>
      <c r="C624" s="4" t="s">
        <v>863</v>
      </c>
      <c r="D624" s="4">
        <v>65.657200000000003</v>
      </c>
    </row>
    <row r="625" spans="1:4" x14ac:dyDescent="0.2">
      <c r="A625" s="83">
        <v>723</v>
      </c>
      <c r="B625" s="4">
        <v>69.284400000000005</v>
      </c>
      <c r="C625" s="4" t="s">
        <v>864</v>
      </c>
      <c r="D625" s="4">
        <v>65.576300000000003</v>
      </c>
    </row>
    <row r="626" spans="1:4" x14ac:dyDescent="0.2">
      <c r="A626" s="83">
        <v>724</v>
      </c>
      <c r="B626" s="4">
        <v>69.286799999999999</v>
      </c>
      <c r="C626" s="4" t="s">
        <v>865</v>
      </c>
      <c r="D626" s="4">
        <v>65.493499999999997</v>
      </c>
    </row>
    <row r="627" spans="1:4" x14ac:dyDescent="0.2">
      <c r="A627" s="83">
        <v>725</v>
      </c>
      <c r="B627" s="4">
        <v>69.289299999999997</v>
      </c>
      <c r="C627" s="4" t="s">
        <v>866</v>
      </c>
      <c r="D627" s="4">
        <v>65.409199999999998</v>
      </c>
    </row>
    <row r="628" spans="1:4" x14ac:dyDescent="0.2">
      <c r="A628" s="83">
        <v>726</v>
      </c>
      <c r="B628" s="4">
        <v>69.291600000000003</v>
      </c>
      <c r="C628" s="4" t="s">
        <v>867</v>
      </c>
      <c r="D628" s="4">
        <v>65.325199999999995</v>
      </c>
    </row>
    <row r="629" spans="1:4" x14ac:dyDescent="0.2">
      <c r="A629" s="83">
        <v>727</v>
      </c>
      <c r="B629" s="4">
        <v>69.293899999999994</v>
      </c>
      <c r="C629" s="4" t="s">
        <v>868</v>
      </c>
      <c r="D629" s="4">
        <v>65.239500000000007</v>
      </c>
    </row>
    <row r="630" spans="1:4" x14ac:dyDescent="0.2">
      <c r="A630" s="83">
        <v>728</v>
      </c>
      <c r="B630" s="4">
        <v>69.296300000000002</v>
      </c>
      <c r="C630" s="4" t="s">
        <v>869</v>
      </c>
      <c r="D630" s="4">
        <v>65.152199999999993</v>
      </c>
    </row>
    <row r="631" spans="1:4" x14ac:dyDescent="0.2">
      <c r="A631" s="83">
        <v>729</v>
      </c>
      <c r="B631" s="4">
        <v>69.298699999999997</v>
      </c>
      <c r="C631" s="4" t="s">
        <v>870</v>
      </c>
      <c r="D631" s="4">
        <v>65.063199999999995</v>
      </c>
    </row>
    <row r="632" spans="1:4" x14ac:dyDescent="0.2">
      <c r="A632" s="83">
        <v>730</v>
      </c>
      <c r="B632" s="4">
        <v>69.301100000000005</v>
      </c>
      <c r="C632" s="4" t="s">
        <v>871</v>
      </c>
      <c r="D632" s="4">
        <v>64.972399999999993</v>
      </c>
    </row>
    <row r="633" spans="1:4" x14ac:dyDescent="0.2">
      <c r="A633" s="83">
        <v>731</v>
      </c>
      <c r="B633" s="4">
        <v>69.303299999999993</v>
      </c>
      <c r="C633" s="4" t="s">
        <v>872</v>
      </c>
      <c r="D633" s="4">
        <v>64.882199999999997</v>
      </c>
    </row>
    <row r="634" spans="1:4" x14ac:dyDescent="0.2">
      <c r="A634" s="83">
        <v>732</v>
      </c>
      <c r="B634" s="4">
        <v>69.305499999999995</v>
      </c>
      <c r="C634" s="4" t="s">
        <v>873</v>
      </c>
      <c r="D634" s="4">
        <v>64.790199999999999</v>
      </c>
    </row>
    <row r="635" spans="1:4" x14ac:dyDescent="0.2">
      <c r="A635" s="83">
        <v>733</v>
      </c>
      <c r="B635" s="4">
        <v>69.3078</v>
      </c>
      <c r="C635" s="4" t="s">
        <v>874</v>
      </c>
      <c r="D635" s="4">
        <v>64.696600000000004</v>
      </c>
    </row>
    <row r="636" spans="1:4" x14ac:dyDescent="0.2">
      <c r="A636" s="83">
        <v>734</v>
      </c>
      <c r="B636" s="4">
        <v>69.310100000000006</v>
      </c>
      <c r="C636" s="4" t="s">
        <v>875</v>
      </c>
      <c r="D636" s="4">
        <v>64.601200000000006</v>
      </c>
    </row>
    <row r="637" spans="1:4" x14ac:dyDescent="0.2">
      <c r="A637" s="83">
        <v>735</v>
      </c>
      <c r="B637" s="4">
        <v>69.3125</v>
      </c>
      <c r="C637" s="4" t="s">
        <v>876</v>
      </c>
      <c r="D637" s="4">
        <v>64.504099999999994</v>
      </c>
    </row>
    <row r="638" spans="1:4" x14ac:dyDescent="0.2">
      <c r="A638" s="83">
        <v>736</v>
      </c>
      <c r="B638" s="4">
        <v>69.314599999999999</v>
      </c>
      <c r="C638" s="4">
        <v>4.907</v>
      </c>
      <c r="D638" s="4">
        <v>64.407600000000002</v>
      </c>
    </row>
    <row r="639" spans="1:4" x14ac:dyDescent="0.2">
      <c r="A639" s="83">
        <v>737</v>
      </c>
      <c r="B639" s="4">
        <v>69.316800000000001</v>
      </c>
      <c r="C639" s="4" t="s">
        <v>877</v>
      </c>
      <c r="D639" s="4">
        <v>64.3095</v>
      </c>
    </row>
    <row r="640" spans="1:4" x14ac:dyDescent="0.2">
      <c r="A640" s="83">
        <v>738</v>
      </c>
      <c r="B640" s="4" t="s">
        <v>878</v>
      </c>
      <c r="C640" s="4" t="s">
        <v>879</v>
      </c>
      <c r="D640" s="4">
        <v>64.209599999999995</v>
      </c>
    </row>
    <row r="641" spans="1:4" x14ac:dyDescent="0.2">
      <c r="A641" s="83">
        <v>739</v>
      </c>
      <c r="B641" s="4">
        <v>69.321200000000005</v>
      </c>
      <c r="C641" s="4" t="s">
        <v>880</v>
      </c>
      <c r="D641" s="4">
        <v>64.107900000000001</v>
      </c>
    </row>
    <row r="642" spans="1:4" x14ac:dyDescent="0.2">
      <c r="A642" s="83">
        <v>740</v>
      </c>
      <c r="B642" s="4">
        <v>69.323499999999996</v>
      </c>
      <c r="C642" s="4">
        <v>5.319</v>
      </c>
      <c r="D642" s="4">
        <v>64.004499999999993</v>
      </c>
    </row>
    <row r="643" spans="1:4" x14ac:dyDescent="0.2">
      <c r="A643" s="83">
        <v>741</v>
      </c>
      <c r="B643" s="4">
        <v>69.325599999999994</v>
      </c>
      <c r="C643" s="4" t="s">
        <v>881</v>
      </c>
      <c r="D643" s="4">
        <v>63.901499999999999</v>
      </c>
    </row>
    <row r="644" spans="1:4" x14ac:dyDescent="0.2">
      <c r="A644" s="83">
        <v>742</v>
      </c>
      <c r="B644" s="4">
        <v>69.327799999999996</v>
      </c>
      <c r="C644" s="4">
        <v>5.5309999999999997</v>
      </c>
      <c r="D644" s="4">
        <v>63.796799999999998</v>
      </c>
    </row>
    <row r="645" spans="1:4" x14ac:dyDescent="0.2">
      <c r="A645" s="83">
        <v>743</v>
      </c>
      <c r="B645" s="4">
        <v>69.33</v>
      </c>
      <c r="C645" s="4" t="s">
        <v>882</v>
      </c>
      <c r="D645" s="4">
        <v>63.690300000000001</v>
      </c>
    </row>
    <row r="646" spans="1:4" x14ac:dyDescent="0.2">
      <c r="A646" s="83">
        <v>744</v>
      </c>
      <c r="B646" s="4">
        <v>69.3322</v>
      </c>
      <c r="C646" s="4" t="s">
        <v>883</v>
      </c>
      <c r="D646" s="4">
        <v>63.581899999999997</v>
      </c>
    </row>
    <row r="647" spans="1:4" x14ac:dyDescent="0.2">
      <c r="A647" s="83">
        <v>745</v>
      </c>
      <c r="B647" s="4">
        <v>69.334400000000002</v>
      </c>
      <c r="C647" s="4" t="s">
        <v>884</v>
      </c>
      <c r="D647" s="4">
        <v>63.471699999999998</v>
      </c>
    </row>
    <row r="648" spans="1:4" x14ac:dyDescent="0.2">
      <c r="A648" s="83">
        <v>746</v>
      </c>
      <c r="B648" s="4">
        <v>69.336500000000001</v>
      </c>
      <c r="C648" s="4" t="s">
        <v>885</v>
      </c>
      <c r="D648" s="4">
        <v>63.3628</v>
      </c>
    </row>
    <row r="649" spans="1:4" x14ac:dyDescent="0.2">
      <c r="A649" s="83">
        <v>747</v>
      </c>
      <c r="B649" s="4">
        <v>69.338700000000003</v>
      </c>
      <c r="C649" s="4" t="s">
        <v>886</v>
      </c>
      <c r="D649" s="4">
        <v>63.252200000000002</v>
      </c>
    </row>
    <row r="650" spans="1:4" x14ac:dyDescent="0.2">
      <c r="A650" s="83">
        <v>748</v>
      </c>
      <c r="B650" s="4">
        <v>69.340800000000002</v>
      </c>
      <c r="C650" s="4" t="s">
        <v>887</v>
      </c>
      <c r="D650" s="4">
        <v>63.139699999999998</v>
      </c>
    </row>
    <row r="651" spans="1:4" x14ac:dyDescent="0.2">
      <c r="A651" s="83">
        <v>749</v>
      </c>
      <c r="B651" s="4" t="s">
        <v>888</v>
      </c>
      <c r="C651" s="4" t="s">
        <v>889</v>
      </c>
      <c r="D651" s="4">
        <v>63.025300000000001</v>
      </c>
    </row>
    <row r="652" spans="1:4" x14ac:dyDescent="0.2">
      <c r="A652" s="83">
        <v>750</v>
      </c>
      <c r="B652" s="4">
        <v>69.345200000000006</v>
      </c>
      <c r="C652" s="4" t="s">
        <v>890</v>
      </c>
      <c r="D652" s="4">
        <v>62.909100000000002</v>
      </c>
    </row>
    <row r="653" spans="1:4" x14ac:dyDescent="0.2">
      <c r="A653" s="83">
        <v>751</v>
      </c>
      <c r="B653" s="4">
        <v>69.347200000000001</v>
      </c>
      <c r="C653" s="4">
        <v>6.5529999999999999</v>
      </c>
      <c r="D653" s="4">
        <v>62.794199999999996</v>
      </c>
    </row>
    <row r="654" spans="1:4" x14ac:dyDescent="0.2">
      <c r="A654" s="83">
        <v>752</v>
      </c>
      <c r="B654" s="4">
        <v>69.349199999999996</v>
      </c>
      <c r="C654" s="4" t="s">
        <v>891</v>
      </c>
      <c r="D654" s="4">
        <v>62.677399999999999</v>
      </c>
    </row>
    <row r="655" spans="1:4" x14ac:dyDescent="0.2">
      <c r="A655" s="83">
        <v>753</v>
      </c>
      <c r="B655" s="4">
        <v>69.351299999999995</v>
      </c>
      <c r="C655" s="4" t="s">
        <v>892</v>
      </c>
      <c r="D655" s="4">
        <v>62.558799999999998</v>
      </c>
    </row>
    <row r="656" spans="1:4" x14ac:dyDescent="0.2">
      <c r="A656" s="83">
        <v>754</v>
      </c>
      <c r="B656" s="4">
        <v>69.353399999999993</v>
      </c>
      <c r="C656" s="4">
        <v>6.915</v>
      </c>
      <c r="D656" s="4">
        <v>62.438400000000001</v>
      </c>
    </row>
    <row r="657" spans="1:4" x14ac:dyDescent="0.2">
      <c r="A657" s="83">
        <v>755</v>
      </c>
      <c r="B657" s="4">
        <v>69.355500000000006</v>
      </c>
      <c r="C657" s="4" t="s">
        <v>893</v>
      </c>
      <c r="D657" s="4">
        <v>62.316099999999999</v>
      </c>
    </row>
    <row r="658" spans="1:4" x14ac:dyDescent="0.2">
      <c r="A658" s="83">
        <v>756</v>
      </c>
      <c r="B658" s="4">
        <v>69.357500000000002</v>
      </c>
      <c r="C658" s="4" t="s">
        <v>894</v>
      </c>
      <c r="D658" s="4">
        <v>62.195</v>
      </c>
    </row>
    <row r="659" spans="1:4" x14ac:dyDescent="0.2">
      <c r="A659" s="83">
        <v>757</v>
      </c>
      <c r="B659" s="4">
        <v>69.359499999999997</v>
      </c>
      <c r="C659" s="4" t="s">
        <v>895</v>
      </c>
      <c r="D659" s="4">
        <v>62.072099999999999</v>
      </c>
    </row>
    <row r="660" spans="1:4" x14ac:dyDescent="0.2">
      <c r="A660" s="83">
        <v>758</v>
      </c>
      <c r="B660" s="4">
        <v>69.361500000000007</v>
      </c>
      <c r="C660" s="4" t="s">
        <v>896</v>
      </c>
      <c r="D660" s="4">
        <v>61.947299999999998</v>
      </c>
    </row>
    <row r="661" spans="1:4" x14ac:dyDescent="0.2">
      <c r="A661" s="83">
        <v>759</v>
      </c>
      <c r="B661" s="4">
        <v>69.363500000000002</v>
      </c>
      <c r="C661" s="4" t="s">
        <v>897</v>
      </c>
      <c r="D661" s="4">
        <v>61.820599999999999</v>
      </c>
    </row>
    <row r="662" spans="1:4" x14ac:dyDescent="0.2">
      <c r="A662" s="83">
        <v>760</v>
      </c>
      <c r="B662" s="4">
        <v>69.365600000000001</v>
      </c>
      <c r="C662" s="4" t="s">
        <v>898</v>
      </c>
      <c r="D662" s="4">
        <v>61.692100000000003</v>
      </c>
    </row>
    <row r="663" spans="1:4" x14ac:dyDescent="0.2">
      <c r="A663" s="83">
        <v>761</v>
      </c>
      <c r="B663" s="4">
        <v>69.367500000000007</v>
      </c>
      <c r="C663" s="4" t="s">
        <v>899</v>
      </c>
      <c r="D663" s="4">
        <v>61.564999999999998</v>
      </c>
    </row>
    <row r="664" spans="1:4" x14ac:dyDescent="0.2">
      <c r="A664" s="83">
        <v>762</v>
      </c>
      <c r="B664" s="4">
        <v>69.369500000000002</v>
      </c>
      <c r="C664" s="4" t="s">
        <v>900</v>
      </c>
      <c r="D664" s="4">
        <v>61.436100000000003</v>
      </c>
    </row>
    <row r="665" spans="1:4" x14ac:dyDescent="0.2">
      <c r="A665" s="83">
        <v>763</v>
      </c>
      <c r="B665" s="4">
        <v>69.371499999999997</v>
      </c>
      <c r="C665" s="4" t="s">
        <v>901</v>
      </c>
      <c r="D665" s="4">
        <v>61.305399999999999</v>
      </c>
    </row>
    <row r="666" spans="1:4" x14ac:dyDescent="0.2">
      <c r="A666" s="83">
        <v>764</v>
      </c>
      <c r="B666" s="4">
        <v>69.373599999999996</v>
      </c>
      <c r="C666" s="4" t="s">
        <v>902</v>
      </c>
      <c r="D666" s="4">
        <v>61.172800000000002</v>
      </c>
    </row>
    <row r="667" spans="1:4" x14ac:dyDescent="0.2">
      <c r="A667" s="83">
        <v>765</v>
      </c>
      <c r="B667" s="4">
        <v>69.375699999999995</v>
      </c>
      <c r="C667" s="4" t="s">
        <v>903</v>
      </c>
      <c r="D667" s="4">
        <v>61.038400000000003</v>
      </c>
    </row>
    <row r="668" spans="1:4" x14ac:dyDescent="0.2">
      <c r="A668" s="83">
        <v>766</v>
      </c>
      <c r="B668" s="4">
        <v>69.377499999999998</v>
      </c>
      <c r="C668" s="4">
        <v>8.4719999999999995</v>
      </c>
      <c r="D668" s="4">
        <v>60.905500000000004</v>
      </c>
    </row>
    <row r="669" spans="1:4" x14ac:dyDescent="0.2">
      <c r="A669" s="83">
        <v>767</v>
      </c>
      <c r="B669" s="4">
        <v>69.379400000000004</v>
      </c>
      <c r="C669" s="4" t="s">
        <v>904</v>
      </c>
      <c r="D669" s="4">
        <v>60.770899999999997</v>
      </c>
    </row>
    <row r="670" spans="1:4" x14ac:dyDescent="0.2">
      <c r="A670" s="83">
        <v>768</v>
      </c>
      <c r="B670" s="4">
        <v>69.381299999999996</v>
      </c>
      <c r="C670" s="4" t="s">
        <v>905</v>
      </c>
      <c r="D670" s="4">
        <v>60.634399999999999</v>
      </c>
    </row>
    <row r="671" spans="1:4" x14ac:dyDescent="0.2">
      <c r="A671" s="83">
        <v>769</v>
      </c>
      <c r="B671" s="4">
        <v>69.383200000000002</v>
      </c>
      <c r="C671" s="4" t="s">
        <v>906</v>
      </c>
      <c r="D671" s="4">
        <v>60.496000000000002</v>
      </c>
    </row>
    <row r="672" spans="1:4" x14ac:dyDescent="0.2">
      <c r="A672" s="83">
        <v>770</v>
      </c>
      <c r="B672" s="4">
        <v>69.385199999999998</v>
      </c>
      <c r="C672" s="4" t="s">
        <v>907</v>
      </c>
      <c r="D672" s="4">
        <v>60.355800000000002</v>
      </c>
    </row>
    <row r="673" spans="1:4" x14ac:dyDescent="0.2">
      <c r="A673" s="83">
        <v>771</v>
      </c>
      <c r="B673" s="4">
        <v>69.387100000000004</v>
      </c>
      <c r="C673" s="4" t="s">
        <v>908</v>
      </c>
      <c r="D673" s="4">
        <v>60.217199999999998</v>
      </c>
    </row>
    <row r="674" spans="1:4" x14ac:dyDescent="0.2">
      <c r="A674" s="83">
        <v>772</v>
      </c>
      <c r="B674" s="4" t="s">
        <v>909</v>
      </c>
      <c r="C674" s="4" t="s">
        <v>910</v>
      </c>
      <c r="D674" s="4">
        <v>60.076799999999999</v>
      </c>
    </row>
    <row r="675" spans="1:4" x14ac:dyDescent="0.2">
      <c r="A675" s="83">
        <v>773</v>
      </c>
      <c r="B675" s="4">
        <v>69.390900000000002</v>
      </c>
      <c r="C675" s="4" t="s">
        <v>911</v>
      </c>
      <c r="D675" s="4">
        <v>59.934399999999997</v>
      </c>
    </row>
    <row r="676" spans="1:4" x14ac:dyDescent="0.2">
      <c r="A676" s="83">
        <v>774</v>
      </c>
      <c r="B676" s="4">
        <v>69.392899999999997</v>
      </c>
      <c r="C676" s="4" t="s">
        <v>912</v>
      </c>
      <c r="D676" s="4">
        <v>59.790300000000002</v>
      </c>
    </row>
    <row r="677" spans="1:4" x14ac:dyDescent="0.2">
      <c r="A677" s="83">
        <v>775</v>
      </c>
      <c r="B677" s="4">
        <v>69.394900000000007</v>
      </c>
      <c r="C677" s="4" t="s">
        <v>913</v>
      </c>
      <c r="D677" s="4">
        <v>59.644199999999998</v>
      </c>
    </row>
    <row r="678" spans="1:4" x14ac:dyDescent="0.2">
      <c r="A678" s="83">
        <v>776</v>
      </c>
      <c r="B678" s="4">
        <v>69.396699999999996</v>
      </c>
      <c r="C678" s="4" t="s">
        <v>914</v>
      </c>
      <c r="D678" s="4">
        <v>59.500999999999998</v>
      </c>
    </row>
    <row r="679" spans="1:4" x14ac:dyDescent="0.2">
      <c r="A679" s="83">
        <v>777</v>
      </c>
      <c r="B679" s="4">
        <v>69.398499999999999</v>
      </c>
      <c r="C679" s="4">
        <v>10.0426</v>
      </c>
      <c r="D679" s="4">
        <v>59.355899999999998</v>
      </c>
    </row>
    <row r="680" spans="1:4" x14ac:dyDescent="0.2">
      <c r="A680" s="83">
        <v>778</v>
      </c>
      <c r="B680" s="4">
        <v>69.400300000000001</v>
      </c>
      <c r="C680" s="4">
        <v>10.1913</v>
      </c>
      <c r="D680" s="4">
        <v>59.209000000000003</v>
      </c>
    </row>
    <row r="681" spans="1:4" x14ac:dyDescent="0.2">
      <c r="A681" s="83">
        <v>779</v>
      </c>
      <c r="B681" s="4">
        <v>69.402100000000004</v>
      </c>
      <c r="C681" s="4">
        <v>10.341900000000001</v>
      </c>
      <c r="D681" s="4">
        <v>59.060200000000002</v>
      </c>
    </row>
    <row r="682" spans="1:4" x14ac:dyDescent="0.2">
      <c r="A682" s="83">
        <v>780</v>
      </c>
      <c r="B682" s="4">
        <v>69.403899999999993</v>
      </c>
      <c r="C682" s="4">
        <v>10.494300000000001</v>
      </c>
      <c r="D682" s="4">
        <v>58.909599999999998</v>
      </c>
    </row>
    <row r="683" spans="1:4" x14ac:dyDescent="0.2">
      <c r="A683" s="83">
        <v>781</v>
      </c>
      <c r="B683" s="4">
        <v>69.405699999999996</v>
      </c>
      <c r="C683" s="4" t="s">
        <v>915</v>
      </c>
      <c r="D683" s="4">
        <v>58.7607</v>
      </c>
    </row>
    <row r="684" spans="1:4" x14ac:dyDescent="0.2">
      <c r="A684" s="83">
        <v>782</v>
      </c>
      <c r="B684" s="4">
        <v>69.407499999999999</v>
      </c>
      <c r="C684" s="4">
        <v>10.797499999999999</v>
      </c>
      <c r="D684" s="4">
        <v>58.61</v>
      </c>
    </row>
    <row r="685" spans="1:4" x14ac:dyDescent="0.2">
      <c r="A685" s="83">
        <v>783</v>
      </c>
      <c r="B685" s="4">
        <v>69.409300000000002</v>
      </c>
      <c r="C685" s="4">
        <v>10.9519</v>
      </c>
      <c r="D685" s="4">
        <v>58.4574</v>
      </c>
    </row>
    <row r="686" spans="1:4" x14ac:dyDescent="0.2">
      <c r="A686" s="83">
        <v>784</v>
      </c>
      <c r="B686" s="4">
        <v>69.411199999999994</v>
      </c>
      <c r="C686" s="4">
        <v>11.1081</v>
      </c>
      <c r="D686" s="4">
        <v>58.303100000000001</v>
      </c>
    </row>
    <row r="687" spans="1:4" x14ac:dyDescent="0.2">
      <c r="A687" s="83">
        <v>785</v>
      </c>
      <c r="B687" s="4">
        <v>69.4131</v>
      </c>
      <c r="C687" s="4">
        <v>11.2662</v>
      </c>
      <c r="D687" s="4">
        <v>58.146900000000002</v>
      </c>
    </row>
    <row r="688" spans="1:4" x14ac:dyDescent="0.2">
      <c r="A688" s="83">
        <v>786</v>
      </c>
      <c r="B688" s="4">
        <v>69.4148</v>
      </c>
      <c r="C688" s="4">
        <v>11.4217</v>
      </c>
      <c r="D688" s="4">
        <v>57.993099999999998</v>
      </c>
    </row>
    <row r="689" spans="1:4" x14ac:dyDescent="0.2">
      <c r="A689" s="83">
        <v>787</v>
      </c>
      <c r="B689" s="4">
        <v>69.416499999999999</v>
      </c>
      <c r="C689" s="4" t="s">
        <v>916</v>
      </c>
      <c r="D689" s="4">
        <v>57.837499999999999</v>
      </c>
    </row>
    <row r="690" spans="1:4" x14ac:dyDescent="0.2">
      <c r="A690" s="83">
        <v>788</v>
      </c>
      <c r="B690" s="4">
        <v>69.418300000000002</v>
      </c>
      <c r="C690" s="4">
        <v>11.738099999999999</v>
      </c>
      <c r="D690" s="4">
        <v>57.680199999999999</v>
      </c>
    </row>
    <row r="691" spans="1:4" x14ac:dyDescent="0.2">
      <c r="A691" s="83">
        <v>789</v>
      </c>
      <c r="B691" s="4">
        <v>69.42</v>
      </c>
      <c r="C691" s="4" t="s">
        <v>917</v>
      </c>
      <c r="D691" s="4">
        <v>57.521000000000001</v>
      </c>
    </row>
    <row r="692" spans="1:4" x14ac:dyDescent="0.2">
      <c r="A692" s="83">
        <v>790</v>
      </c>
      <c r="B692" s="4">
        <v>69.421800000000005</v>
      </c>
      <c r="C692" s="4">
        <v>12.0619</v>
      </c>
      <c r="D692" s="4">
        <v>57.359900000000003</v>
      </c>
    </row>
    <row r="693" spans="1:4" x14ac:dyDescent="0.2">
      <c r="A693" s="83">
        <v>791</v>
      </c>
      <c r="B693" s="4">
        <v>69.423500000000004</v>
      </c>
      <c r="C693" s="4">
        <v>12.2218</v>
      </c>
      <c r="D693" s="4">
        <v>57.201700000000002</v>
      </c>
    </row>
    <row r="694" spans="1:4" x14ac:dyDescent="0.2">
      <c r="A694" s="83">
        <v>792</v>
      </c>
      <c r="B694" s="4">
        <v>69.425200000000004</v>
      </c>
      <c r="C694" s="4">
        <v>12.3834</v>
      </c>
      <c r="D694" s="4">
        <v>57.041800000000002</v>
      </c>
    </row>
    <row r="695" spans="1:4" x14ac:dyDescent="0.2">
      <c r="A695" s="83">
        <v>793</v>
      </c>
      <c r="B695" s="4" t="s">
        <v>918</v>
      </c>
      <c r="C695" s="4">
        <v>12.546900000000001</v>
      </c>
      <c r="D695" s="4">
        <v>56.880099999999999</v>
      </c>
    </row>
    <row r="696" spans="1:4" x14ac:dyDescent="0.2">
      <c r="A696" s="83">
        <v>794</v>
      </c>
      <c r="B696" s="4">
        <v>69.428700000000006</v>
      </c>
      <c r="C696" s="4">
        <v>12.712199999999999</v>
      </c>
      <c r="D696" s="4">
        <v>56.716500000000003</v>
      </c>
    </row>
    <row r="697" spans="1:4" x14ac:dyDescent="0.2">
      <c r="A697" s="83">
        <v>795</v>
      </c>
      <c r="B697" s="4">
        <v>69.430499999999995</v>
      </c>
      <c r="C697" s="4">
        <v>12.879300000000001</v>
      </c>
      <c r="D697" s="4">
        <v>56.551200000000001</v>
      </c>
    </row>
    <row r="698" spans="1:4" x14ac:dyDescent="0.2">
      <c r="A698" s="83">
        <v>796</v>
      </c>
      <c r="B698" s="4">
        <v>69.432199999999995</v>
      </c>
      <c r="C698" s="4">
        <v>13.043200000000001</v>
      </c>
      <c r="D698" s="4">
        <v>56.389000000000003</v>
      </c>
    </row>
    <row r="699" spans="1:4" x14ac:dyDescent="0.2">
      <c r="A699" s="83">
        <v>797</v>
      </c>
      <c r="B699" s="4">
        <v>69.433899999999994</v>
      </c>
      <c r="C699" s="4">
        <v>13.2088</v>
      </c>
      <c r="D699" s="4">
        <v>56.225099999999998</v>
      </c>
    </row>
    <row r="700" spans="1:4" x14ac:dyDescent="0.2">
      <c r="A700" s="83">
        <v>798</v>
      </c>
      <c r="B700" s="4">
        <v>69.435599999999994</v>
      </c>
      <c r="C700" s="4">
        <v>13.376099999999999</v>
      </c>
      <c r="D700" s="4">
        <v>56.0595</v>
      </c>
    </row>
    <row r="701" spans="1:4" x14ac:dyDescent="0.2">
      <c r="A701" s="83">
        <v>799</v>
      </c>
      <c r="B701" s="4">
        <v>69.437299999999993</v>
      </c>
      <c r="C701" s="4">
        <v>13.545299999999999</v>
      </c>
      <c r="D701" s="4">
        <v>55.892000000000003</v>
      </c>
    </row>
    <row r="702" spans="1:4" x14ac:dyDescent="0.2">
      <c r="A702" s="83">
        <v>800</v>
      </c>
      <c r="B702" s="4">
        <v>69.439099999999996</v>
      </c>
      <c r="C702" s="4">
        <v>13.716200000000001</v>
      </c>
      <c r="D702" s="4">
        <v>55.722900000000003</v>
      </c>
    </row>
    <row r="703" spans="1:4" x14ac:dyDescent="0.2">
      <c r="A703" s="83">
        <v>801</v>
      </c>
      <c r="B703" s="4">
        <v>69.440700000000007</v>
      </c>
      <c r="C703" s="4">
        <v>13.8842</v>
      </c>
      <c r="D703" s="4">
        <v>55.5565</v>
      </c>
    </row>
    <row r="704" spans="1:4" x14ac:dyDescent="0.2">
      <c r="A704" s="83">
        <v>802</v>
      </c>
      <c r="B704" s="4">
        <v>69.442400000000006</v>
      </c>
      <c r="C704" s="4">
        <v>14.053900000000001</v>
      </c>
      <c r="D704" s="4">
        <v>55.388500000000001</v>
      </c>
    </row>
    <row r="705" spans="1:4" x14ac:dyDescent="0.2">
      <c r="A705" s="83">
        <v>803</v>
      </c>
      <c r="B705" s="4">
        <v>69.444100000000006</v>
      </c>
      <c r="C705" s="4">
        <v>14.225300000000001</v>
      </c>
      <c r="D705" s="4">
        <v>55.218800000000002</v>
      </c>
    </row>
    <row r="706" spans="1:4" x14ac:dyDescent="0.2">
      <c r="A706" s="83">
        <v>804</v>
      </c>
      <c r="B706" s="4">
        <v>69.445899999999995</v>
      </c>
      <c r="C706" s="4">
        <v>14.3985</v>
      </c>
      <c r="D706" s="4">
        <v>55.047400000000003</v>
      </c>
    </row>
    <row r="707" spans="1:4" x14ac:dyDescent="0.2">
      <c r="A707" s="83">
        <v>805</v>
      </c>
      <c r="B707" s="4">
        <v>69.447599999999994</v>
      </c>
      <c r="C707" s="4">
        <v>14.573499999999999</v>
      </c>
      <c r="D707" s="4">
        <v>54.874099999999999</v>
      </c>
    </row>
    <row r="708" spans="1:4" x14ac:dyDescent="0.2">
      <c r="A708" s="83">
        <v>806</v>
      </c>
      <c r="B708" s="4">
        <v>69.449200000000005</v>
      </c>
      <c r="C708" s="4">
        <v>14.745200000000001</v>
      </c>
      <c r="D708" s="4">
        <v>54.704000000000001</v>
      </c>
    </row>
    <row r="709" spans="1:4" x14ac:dyDescent="0.2">
      <c r="A709" s="83">
        <v>807</v>
      </c>
      <c r="B709" s="4">
        <v>69.450900000000004</v>
      </c>
      <c r="C709" s="4">
        <v>14.9185</v>
      </c>
      <c r="D709" s="4">
        <v>54.532400000000003</v>
      </c>
    </row>
    <row r="710" spans="1:4" x14ac:dyDescent="0.2">
      <c r="A710" s="83">
        <v>808</v>
      </c>
      <c r="B710" s="4">
        <v>69.452500000000001</v>
      </c>
      <c r="C710" s="4">
        <v>15.0936</v>
      </c>
      <c r="D710" s="4">
        <v>54.358899999999998</v>
      </c>
    </row>
    <row r="711" spans="1:4" x14ac:dyDescent="0.2">
      <c r="A711" s="83">
        <v>809</v>
      </c>
      <c r="B711" s="4">
        <v>69.4542</v>
      </c>
      <c r="C711" s="4">
        <v>15.2704</v>
      </c>
      <c r="D711" s="4">
        <v>54.183799999999998</v>
      </c>
    </row>
    <row r="712" spans="1:4" x14ac:dyDescent="0.2">
      <c r="A712" s="83">
        <v>810</v>
      </c>
      <c r="B712" s="4">
        <v>69.4559</v>
      </c>
      <c r="C712" s="4">
        <v>15.4489</v>
      </c>
      <c r="D712" s="4">
        <v>54.006999999999998</v>
      </c>
    </row>
    <row r="713" spans="1:4" x14ac:dyDescent="0.2">
      <c r="A713" s="83">
        <v>811</v>
      </c>
      <c r="B713" s="4">
        <v>69.457499999999996</v>
      </c>
      <c r="C713" s="4">
        <v>15.623900000000001</v>
      </c>
      <c r="D713" s="4">
        <v>53.833599999999997</v>
      </c>
    </row>
    <row r="714" spans="1:4" x14ac:dyDescent="0.2">
      <c r="A714" s="83">
        <v>812</v>
      </c>
      <c r="B714" s="4">
        <v>69.459100000000007</v>
      </c>
      <c r="C714" s="4">
        <v>15.8005</v>
      </c>
      <c r="D714" s="4">
        <v>53.6586</v>
      </c>
    </row>
    <row r="715" spans="1:4" x14ac:dyDescent="0.2">
      <c r="A715" s="83">
        <v>813</v>
      </c>
      <c r="B715" s="4">
        <v>69.460700000000003</v>
      </c>
      <c r="C715" s="4">
        <v>15.9788</v>
      </c>
      <c r="D715" s="4">
        <v>53.481900000000003</v>
      </c>
    </row>
    <row r="716" spans="1:4" x14ac:dyDescent="0.2">
      <c r="A716" s="83">
        <v>814</v>
      </c>
      <c r="B716" s="4">
        <v>69.462299999999999</v>
      </c>
      <c r="C716" s="4">
        <v>16.1587</v>
      </c>
      <c r="D716" s="4">
        <v>53.303600000000003</v>
      </c>
    </row>
    <row r="717" spans="1:4" x14ac:dyDescent="0.2">
      <c r="A717" s="83">
        <v>815</v>
      </c>
      <c r="B717" s="4" t="s">
        <v>919</v>
      </c>
      <c r="C717" s="4">
        <v>16.340299999999999</v>
      </c>
      <c r="D717" s="4">
        <v>53.123699999999999</v>
      </c>
    </row>
    <row r="718" spans="1:4" x14ac:dyDescent="0.2">
      <c r="A718" s="83">
        <v>816</v>
      </c>
      <c r="B718" s="4">
        <v>69.465599999999995</v>
      </c>
      <c r="C718" s="4">
        <v>16.5181</v>
      </c>
      <c r="D718" s="4">
        <v>52.947499999999998</v>
      </c>
    </row>
    <row r="719" spans="1:4" x14ac:dyDescent="0.2">
      <c r="A719" s="83">
        <v>817</v>
      </c>
      <c r="B719" s="4">
        <v>69.467200000000005</v>
      </c>
      <c r="C719" s="4">
        <v>16.697399999999998</v>
      </c>
      <c r="D719" s="4">
        <v>52.769799999999996</v>
      </c>
    </row>
    <row r="720" spans="1:4" x14ac:dyDescent="0.2">
      <c r="A720" s="83">
        <v>818</v>
      </c>
      <c r="B720" s="4">
        <v>69.468800000000002</v>
      </c>
      <c r="C720" s="4">
        <v>16.878399999999999</v>
      </c>
      <c r="D720" s="4">
        <v>52.590400000000002</v>
      </c>
    </row>
    <row r="721" spans="1:4" x14ac:dyDescent="0.2">
      <c r="A721" s="83">
        <v>819</v>
      </c>
      <c r="B721" s="4">
        <v>69.470399999999998</v>
      </c>
      <c r="C721" s="4" t="s">
        <v>920</v>
      </c>
      <c r="D721" s="4">
        <v>52.409399999999998</v>
      </c>
    </row>
    <row r="722" spans="1:4" x14ac:dyDescent="0.2">
      <c r="A722" s="83">
        <v>820</v>
      </c>
      <c r="B722" s="4">
        <v>69.472099999999998</v>
      </c>
      <c r="C722" s="4">
        <v>17.245200000000001</v>
      </c>
      <c r="D722" s="4">
        <v>52.226900000000001</v>
      </c>
    </row>
    <row r="723" spans="1:4" x14ac:dyDescent="0.2">
      <c r="A723" s="83">
        <v>821</v>
      </c>
      <c r="B723" s="4">
        <v>69.473600000000005</v>
      </c>
      <c r="C723" s="4">
        <v>17.4252</v>
      </c>
      <c r="D723" s="4">
        <v>52.048400000000001</v>
      </c>
    </row>
    <row r="724" spans="1:4" x14ac:dyDescent="0.2">
      <c r="A724" s="83">
        <v>822</v>
      </c>
      <c r="B724" s="4">
        <v>69.475200000000001</v>
      </c>
      <c r="C724" s="4">
        <v>17.6068</v>
      </c>
      <c r="D724" s="4">
        <v>51.868400000000001</v>
      </c>
    </row>
    <row r="725" spans="1:4" x14ac:dyDescent="0.2">
      <c r="A725" s="83">
        <v>823</v>
      </c>
      <c r="B725" s="4">
        <v>69.476799999999997</v>
      </c>
      <c r="C725" s="4">
        <v>17.789899999999999</v>
      </c>
      <c r="D725" s="4">
        <v>51.686900000000001</v>
      </c>
    </row>
    <row r="726" spans="1:4" x14ac:dyDescent="0.2">
      <c r="A726" s="83">
        <v>824</v>
      </c>
      <c r="B726" s="4">
        <v>69.478399999999993</v>
      </c>
      <c r="C726" s="4">
        <v>17.974599999999999</v>
      </c>
      <c r="D726" s="4">
        <v>51.503799999999998</v>
      </c>
    </row>
    <row r="727" spans="1:4" x14ac:dyDescent="0.2">
      <c r="A727" s="83">
        <v>825</v>
      </c>
      <c r="B727" s="4">
        <v>69.48</v>
      </c>
      <c r="C727" s="4">
        <v>18.160900000000002</v>
      </c>
      <c r="D727" s="4">
        <v>51.319099999999999</v>
      </c>
    </row>
    <row r="728" spans="1:4" x14ac:dyDescent="0.2">
      <c r="A728" s="83">
        <v>826</v>
      </c>
      <c r="B728" s="4">
        <v>69.481499999999997</v>
      </c>
      <c r="C728" s="4">
        <v>18.3444</v>
      </c>
      <c r="D728" s="4">
        <v>51.137099999999997</v>
      </c>
    </row>
    <row r="729" spans="1:4" x14ac:dyDescent="0.2">
      <c r="A729" s="83">
        <v>827</v>
      </c>
      <c r="B729" s="4" t="s">
        <v>921</v>
      </c>
      <c r="C729" s="4">
        <v>18.529399999999999</v>
      </c>
      <c r="D729" s="4">
        <v>50.953600000000002</v>
      </c>
    </row>
    <row r="730" spans="1:4" x14ac:dyDescent="0.2">
      <c r="A730" s="83">
        <v>828</v>
      </c>
      <c r="B730" s="4">
        <v>69.484499999999997</v>
      </c>
      <c r="C730" s="4">
        <v>18.715900000000001</v>
      </c>
      <c r="D730" s="4">
        <v>50.768599999999999</v>
      </c>
    </row>
    <row r="731" spans="1:4" x14ac:dyDescent="0.2">
      <c r="A731" s="83">
        <v>829</v>
      </c>
      <c r="B731" s="4">
        <v>69.486099999999993</v>
      </c>
      <c r="C731" s="4" t="s">
        <v>922</v>
      </c>
      <c r="D731" s="4">
        <v>50.582099999999997</v>
      </c>
    </row>
    <row r="732" spans="1:4" x14ac:dyDescent="0.2">
      <c r="A732" s="83">
        <v>830</v>
      </c>
      <c r="B732" s="4">
        <v>69.487700000000004</v>
      </c>
      <c r="C732" s="4">
        <v>19.093599999999999</v>
      </c>
      <c r="D732" s="4">
        <v>50.394100000000002</v>
      </c>
    </row>
    <row r="733" spans="1:4" x14ac:dyDescent="0.2">
      <c r="A733" s="83">
        <v>831</v>
      </c>
      <c r="B733" s="4">
        <v>69.489099999999993</v>
      </c>
      <c r="C733" s="4">
        <v>19.278300000000002</v>
      </c>
      <c r="D733" s="4">
        <v>50.210799999999999</v>
      </c>
    </row>
    <row r="734" spans="1:4" x14ac:dyDescent="0.2">
      <c r="A734" s="83">
        <v>832</v>
      </c>
      <c r="B734" s="4">
        <v>69.490600000000001</v>
      </c>
      <c r="C734" s="4">
        <v>19.464600000000001</v>
      </c>
      <c r="D734" s="4">
        <v>50.026000000000003</v>
      </c>
    </row>
    <row r="735" spans="1:4" x14ac:dyDescent="0.2">
      <c r="A735" s="83">
        <v>833</v>
      </c>
      <c r="B735" s="4">
        <v>69.492199999999997</v>
      </c>
      <c r="C735" s="4">
        <v>19.6523</v>
      </c>
      <c r="D735" s="4">
        <v>49.8399</v>
      </c>
    </row>
    <row r="736" spans="1:4" x14ac:dyDescent="0.2">
      <c r="A736" s="83">
        <v>834</v>
      </c>
      <c r="B736" s="4">
        <v>69.493700000000004</v>
      </c>
      <c r="C736" s="4">
        <v>19.8415</v>
      </c>
      <c r="D736" s="4">
        <v>49.652200000000001</v>
      </c>
    </row>
    <row r="737" spans="1:4" x14ac:dyDescent="0.2">
      <c r="A737" s="83">
        <v>835</v>
      </c>
      <c r="B737" s="4">
        <v>69.4953</v>
      </c>
      <c r="C737" s="4">
        <v>20.0322</v>
      </c>
      <c r="D737" s="4">
        <v>49.463099999999997</v>
      </c>
    </row>
    <row r="738" spans="1:4" x14ac:dyDescent="0.2">
      <c r="A738" s="83">
        <v>836</v>
      </c>
      <c r="B738" s="4">
        <v>69.496700000000004</v>
      </c>
      <c r="C738" s="4">
        <v>20.217600000000001</v>
      </c>
      <c r="D738" s="4">
        <v>49.2791</v>
      </c>
    </row>
    <row r="739" spans="1:4" x14ac:dyDescent="0.2">
      <c r="A739" s="83">
        <v>837</v>
      </c>
      <c r="B739" s="4">
        <v>69.498099999999994</v>
      </c>
      <c r="C739" s="4">
        <v>20.404499999999999</v>
      </c>
      <c r="D739" s="4">
        <v>49.093600000000002</v>
      </c>
    </row>
    <row r="740" spans="1:4" x14ac:dyDescent="0.2">
      <c r="A740" s="83">
        <v>838</v>
      </c>
      <c r="B740" s="4">
        <v>69.499600000000001</v>
      </c>
      <c r="C740" s="4">
        <v>20.5928</v>
      </c>
      <c r="D740" s="4">
        <v>48.906799999999997</v>
      </c>
    </row>
    <row r="741" spans="1:4" x14ac:dyDescent="0.2">
      <c r="A741" s="83">
        <v>839</v>
      </c>
      <c r="B741" s="4">
        <v>69.501099999999994</v>
      </c>
      <c r="C741" s="4">
        <v>20.782399999999999</v>
      </c>
      <c r="D741" s="4">
        <v>48.718699999999998</v>
      </c>
    </row>
    <row r="742" spans="1:4" x14ac:dyDescent="0.2">
      <c r="A742" s="83">
        <v>840</v>
      </c>
      <c r="B742" s="4">
        <v>69.502600000000001</v>
      </c>
      <c r="C742" s="4">
        <v>20.973500000000001</v>
      </c>
      <c r="D742" s="4">
        <v>48.5291</v>
      </c>
    </row>
    <row r="743" spans="1:4" x14ac:dyDescent="0.2">
      <c r="A743" s="83">
        <v>841</v>
      </c>
      <c r="B743" s="4" t="s">
        <v>923</v>
      </c>
      <c r="C743" s="4">
        <v>21.161100000000001</v>
      </c>
      <c r="D743" s="4">
        <v>48.3429</v>
      </c>
    </row>
    <row r="744" spans="1:4" x14ac:dyDescent="0.2">
      <c r="A744" s="83">
        <v>842</v>
      </c>
      <c r="B744" s="4">
        <v>69.505499999999998</v>
      </c>
      <c r="C744" s="4">
        <v>21.35</v>
      </c>
      <c r="D744" s="4">
        <v>48.155500000000004</v>
      </c>
    </row>
    <row r="745" spans="1:4" x14ac:dyDescent="0.2">
      <c r="A745" s="83">
        <v>843</v>
      </c>
      <c r="B745" s="4" t="s">
        <v>924</v>
      </c>
      <c r="C745" s="4">
        <v>21.540299999999998</v>
      </c>
      <c r="D745" s="4">
        <v>47.966700000000003</v>
      </c>
    </row>
    <row r="746" spans="1:4" x14ac:dyDescent="0.2">
      <c r="A746" s="83">
        <v>844</v>
      </c>
      <c r="B746" s="4">
        <v>69.508499999999998</v>
      </c>
      <c r="C746" s="4" t="s">
        <v>925</v>
      </c>
      <c r="D746" s="4">
        <v>47.776499999999999</v>
      </c>
    </row>
    <row r="747" spans="1:4" x14ac:dyDescent="0.2">
      <c r="A747" s="83">
        <v>845</v>
      </c>
      <c r="B747" s="4">
        <v>69.510000000000005</v>
      </c>
      <c r="C747" s="4" t="s">
        <v>926</v>
      </c>
      <c r="D747" s="4">
        <v>47.585000000000001</v>
      </c>
    </row>
    <row r="748" spans="1:4" x14ac:dyDescent="0.2">
      <c r="A748" s="83">
        <v>846</v>
      </c>
      <c r="B748" s="4">
        <v>69.511300000000006</v>
      </c>
      <c r="C748" s="4">
        <v>22.1142</v>
      </c>
      <c r="D748" s="4">
        <v>47.397100000000002</v>
      </c>
    </row>
    <row r="749" spans="1:4" x14ac:dyDescent="0.2">
      <c r="A749" s="83">
        <v>847</v>
      </c>
      <c r="B749" s="4">
        <v>69.512699999999995</v>
      </c>
      <c r="C749" s="4">
        <v>22.3047</v>
      </c>
      <c r="D749" s="4">
        <v>47.207999999999998</v>
      </c>
    </row>
    <row r="750" spans="1:4" x14ac:dyDescent="0.2">
      <c r="A750" s="83">
        <v>848</v>
      </c>
      <c r="B750" s="4">
        <v>69.514099999999999</v>
      </c>
      <c r="C750" s="4">
        <v>22.496500000000001</v>
      </c>
      <c r="D750" s="4">
        <v>47.017600000000002</v>
      </c>
    </row>
    <row r="751" spans="1:4" x14ac:dyDescent="0.2">
      <c r="A751" s="83">
        <v>849</v>
      </c>
      <c r="B751" s="4">
        <v>69.515500000000003</v>
      </c>
      <c r="C751" s="4">
        <v>22.689699999999998</v>
      </c>
      <c r="D751" s="4">
        <v>46.825800000000001</v>
      </c>
    </row>
    <row r="752" spans="1:4" x14ac:dyDescent="0.2">
      <c r="A752" s="83">
        <v>850</v>
      </c>
      <c r="B752" s="4" t="s">
        <v>927</v>
      </c>
      <c r="C752" s="4">
        <v>22.8842</v>
      </c>
      <c r="D752" s="4">
        <v>46.632800000000003</v>
      </c>
    </row>
    <row r="753" spans="1:4" x14ac:dyDescent="0.2">
      <c r="A753" s="83">
        <v>851</v>
      </c>
      <c r="B753" s="4">
        <v>69.518299999999996</v>
      </c>
      <c r="C753" s="4">
        <v>23.072500000000002</v>
      </c>
      <c r="D753" s="4">
        <v>46.445799999999998</v>
      </c>
    </row>
    <row r="754" spans="1:4" x14ac:dyDescent="0.2">
      <c r="A754" s="83">
        <v>852</v>
      </c>
      <c r="B754" s="4">
        <v>69.5197</v>
      </c>
      <c r="C754" s="4">
        <v>23.2621</v>
      </c>
      <c r="D754" s="4">
        <v>46.257599999999996</v>
      </c>
    </row>
    <row r="755" spans="1:4" x14ac:dyDescent="0.2">
      <c r="A755" s="83">
        <v>853</v>
      </c>
      <c r="B755" s="4">
        <v>69.521100000000004</v>
      </c>
      <c r="C755" s="4">
        <v>23.4528</v>
      </c>
      <c r="D755" s="4">
        <v>46.068300000000001</v>
      </c>
    </row>
    <row r="756" spans="1:4" x14ac:dyDescent="0.2">
      <c r="A756" s="83">
        <v>854</v>
      </c>
      <c r="B756" s="4">
        <v>69.522499999999994</v>
      </c>
      <c r="C756" s="4">
        <v>23.6449</v>
      </c>
      <c r="D756" s="4">
        <v>45.877600000000001</v>
      </c>
    </row>
    <row r="757" spans="1:4" x14ac:dyDescent="0.2">
      <c r="A757" s="83">
        <v>855</v>
      </c>
      <c r="B757" s="4">
        <v>69.523899999999998</v>
      </c>
      <c r="C757" s="4">
        <v>23.838200000000001</v>
      </c>
      <c r="D757" s="4">
        <v>45.685699999999997</v>
      </c>
    </row>
    <row r="758" spans="1:4" x14ac:dyDescent="0.2">
      <c r="A758" s="83">
        <v>856</v>
      </c>
      <c r="B758" s="4">
        <v>69.525199999999998</v>
      </c>
      <c r="C758" s="4">
        <v>24.027200000000001</v>
      </c>
      <c r="D758" s="4">
        <v>45.497999999999998</v>
      </c>
    </row>
    <row r="759" spans="1:4" x14ac:dyDescent="0.2">
      <c r="A759" s="83">
        <v>857</v>
      </c>
      <c r="B759" s="4">
        <v>69.526600000000002</v>
      </c>
      <c r="C759" s="4">
        <v>24.217300000000002</v>
      </c>
      <c r="D759" s="4">
        <v>45.3093</v>
      </c>
    </row>
    <row r="760" spans="1:4" x14ac:dyDescent="0.2">
      <c r="A760" s="83">
        <v>858</v>
      </c>
      <c r="B760" s="4" t="s">
        <v>928</v>
      </c>
      <c r="C760" s="4">
        <v>24.4087</v>
      </c>
      <c r="D760" s="4">
        <v>45.119300000000003</v>
      </c>
    </row>
    <row r="761" spans="1:4" x14ac:dyDescent="0.2">
      <c r="A761" s="83">
        <v>859</v>
      </c>
      <c r="B761" s="4">
        <v>69.529399999999995</v>
      </c>
      <c r="C761" s="4">
        <v>24.601299999999998</v>
      </c>
      <c r="D761" s="4">
        <v>44.928100000000001</v>
      </c>
    </row>
    <row r="762" spans="1:4" x14ac:dyDescent="0.2">
      <c r="A762" s="83">
        <v>860</v>
      </c>
      <c r="B762" s="4">
        <v>69.530799999999999</v>
      </c>
      <c r="C762" s="4">
        <v>24.795100000000001</v>
      </c>
      <c r="D762" s="4">
        <v>44.735700000000001</v>
      </c>
    </row>
    <row r="763" spans="1:4" x14ac:dyDescent="0.2">
      <c r="A763" s="83">
        <v>861</v>
      </c>
      <c r="B763" s="4">
        <v>69.5321</v>
      </c>
      <c r="C763" s="4">
        <v>24.984200000000001</v>
      </c>
      <c r="D763" s="4">
        <v>44.547899999999998</v>
      </c>
    </row>
    <row r="764" spans="1:4" x14ac:dyDescent="0.2">
      <c r="A764" s="83">
        <v>862</v>
      </c>
      <c r="B764" s="4">
        <v>69.533500000000004</v>
      </c>
      <c r="C764" s="4">
        <v>25.174600000000002</v>
      </c>
      <c r="D764" s="4">
        <v>44.358899999999998</v>
      </c>
    </row>
    <row r="765" spans="1:4" x14ac:dyDescent="0.2">
      <c r="A765" s="83">
        <v>863</v>
      </c>
      <c r="B765" s="4">
        <v>69.534800000000004</v>
      </c>
      <c r="C765" s="4" t="s">
        <v>929</v>
      </c>
      <c r="D765" s="4">
        <v>44.168799999999997</v>
      </c>
    </row>
    <row r="766" spans="1:4" x14ac:dyDescent="0.2">
      <c r="A766" s="83">
        <v>864</v>
      </c>
      <c r="B766" s="4">
        <v>69.536199999999994</v>
      </c>
      <c r="C766" s="4">
        <v>25.558700000000002</v>
      </c>
      <c r="D766" s="4">
        <v>43.977499999999999</v>
      </c>
    </row>
    <row r="767" spans="1:4" x14ac:dyDescent="0.2">
      <c r="A767" s="83">
        <v>865</v>
      </c>
      <c r="B767" s="4">
        <v>69.537599999999998</v>
      </c>
      <c r="C767" s="4">
        <v>25.752500000000001</v>
      </c>
      <c r="D767" s="4">
        <v>43.7851</v>
      </c>
    </row>
    <row r="768" spans="1:4" x14ac:dyDescent="0.2">
      <c r="A768" s="83">
        <v>866</v>
      </c>
      <c r="B768" s="4">
        <v>69.538799999999995</v>
      </c>
      <c r="C768" s="4">
        <v>25.941400000000002</v>
      </c>
      <c r="D768" s="4">
        <v>43.5974</v>
      </c>
    </row>
    <row r="769" spans="1:4" x14ac:dyDescent="0.2">
      <c r="A769" s="83">
        <v>867</v>
      </c>
      <c r="B769" s="4">
        <v>69.540099999999995</v>
      </c>
      <c r="C769" s="4">
        <v>26.131399999999999</v>
      </c>
      <c r="D769" s="4">
        <v>43.408700000000003</v>
      </c>
    </row>
    <row r="770" spans="1:4" x14ac:dyDescent="0.2">
      <c r="A770" s="83">
        <v>868</v>
      </c>
      <c r="B770" s="4">
        <v>69.541499999999999</v>
      </c>
      <c r="C770" s="4">
        <v>26.322500000000002</v>
      </c>
      <c r="D770" s="4">
        <v>43.219000000000001</v>
      </c>
    </row>
    <row r="771" spans="1:4" x14ac:dyDescent="0.2">
      <c r="A771" s="83">
        <v>869</v>
      </c>
      <c r="B771" s="4">
        <v>69.5428</v>
      </c>
      <c r="C771" s="4">
        <v>26.514700000000001</v>
      </c>
      <c r="D771" s="4">
        <v>43.028100000000002</v>
      </c>
    </row>
    <row r="772" spans="1:4" x14ac:dyDescent="0.2">
      <c r="A772" s="83">
        <v>870</v>
      </c>
      <c r="B772" s="4">
        <v>69.544200000000004</v>
      </c>
      <c r="C772" s="4">
        <v>26.708100000000002</v>
      </c>
      <c r="D772" s="4">
        <v>42.836100000000002</v>
      </c>
    </row>
    <row r="773" spans="1:4" x14ac:dyDescent="0.2">
      <c r="A773" s="83">
        <v>871</v>
      </c>
      <c r="B773" s="4">
        <v>69.545400000000001</v>
      </c>
      <c r="C773" s="4">
        <v>26.8963</v>
      </c>
      <c r="D773" s="4">
        <v>42.649099999999997</v>
      </c>
    </row>
    <row r="774" spans="1:4" x14ac:dyDescent="0.2">
      <c r="A774" s="83">
        <v>872</v>
      </c>
      <c r="B774" s="4">
        <v>69.546700000000001</v>
      </c>
      <c r="C774" s="4">
        <v>27.0855</v>
      </c>
      <c r="D774" s="4">
        <v>42.461199999999998</v>
      </c>
    </row>
    <row r="775" spans="1:4" x14ac:dyDescent="0.2">
      <c r="A775" s="83">
        <v>873</v>
      </c>
      <c r="B775" s="4">
        <v>69.548100000000005</v>
      </c>
      <c r="C775" s="4">
        <v>27.2758</v>
      </c>
      <c r="D775" s="4">
        <v>42.272300000000001</v>
      </c>
    </row>
    <row r="776" spans="1:4" x14ac:dyDescent="0.2">
      <c r="A776" s="83">
        <v>874</v>
      </c>
      <c r="B776" s="4">
        <v>69.549400000000006</v>
      </c>
      <c r="C776" s="4">
        <v>27.467099999999999</v>
      </c>
      <c r="D776" s="4">
        <v>42.082299999999996</v>
      </c>
    </row>
    <row r="777" spans="1:4" x14ac:dyDescent="0.2">
      <c r="A777" s="83">
        <v>875</v>
      </c>
      <c r="B777" s="4">
        <v>69.550700000000006</v>
      </c>
      <c r="C777" s="4">
        <v>27.659600000000001</v>
      </c>
      <c r="D777" s="4">
        <v>41.891100000000002</v>
      </c>
    </row>
    <row r="778" spans="1:4" x14ac:dyDescent="0.2">
      <c r="A778" s="83">
        <v>876</v>
      </c>
      <c r="B778" s="4" t="s">
        <v>930</v>
      </c>
      <c r="C778" s="4">
        <v>27.846499999999999</v>
      </c>
      <c r="D778" s="4">
        <v>41.705500000000001</v>
      </c>
    </row>
    <row r="779" spans="1:4" x14ac:dyDescent="0.2">
      <c r="A779" s="83">
        <v>877</v>
      </c>
      <c r="B779" s="4">
        <v>69.553200000000004</v>
      </c>
      <c r="C779" s="4">
        <v>28.034500000000001</v>
      </c>
      <c r="D779" s="4">
        <v>41.518700000000003</v>
      </c>
    </row>
    <row r="780" spans="1:4" x14ac:dyDescent="0.2">
      <c r="A780" s="83">
        <v>878</v>
      </c>
      <c r="B780" s="4">
        <v>69.554500000000004</v>
      </c>
      <c r="C780" s="4">
        <v>28.223400000000002</v>
      </c>
      <c r="D780" s="4">
        <v>41.331099999999999</v>
      </c>
    </row>
    <row r="781" spans="1:4" x14ac:dyDescent="0.2">
      <c r="A781" s="83">
        <v>879</v>
      </c>
      <c r="B781" s="4">
        <v>69.555800000000005</v>
      </c>
      <c r="C781" s="4">
        <v>28.413399999999999</v>
      </c>
      <c r="D781" s="4">
        <v>41.142400000000002</v>
      </c>
    </row>
    <row r="782" spans="1:4" x14ac:dyDescent="0.2">
      <c r="A782" s="83">
        <v>880</v>
      </c>
      <c r="B782" s="4">
        <v>69.557100000000005</v>
      </c>
      <c r="C782" s="4">
        <v>28.604399999999998</v>
      </c>
      <c r="D782" s="4">
        <v>40.9527</v>
      </c>
    </row>
    <row r="783" spans="1:4" x14ac:dyDescent="0.2">
      <c r="A783" s="83">
        <v>881</v>
      </c>
      <c r="B783" s="4">
        <v>69.558300000000003</v>
      </c>
      <c r="C783" s="4">
        <v>28.7896</v>
      </c>
      <c r="D783" s="4">
        <v>40.768700000000003</v>
      </c>
    </row>
    <row r="784" spans="1:4" x14ac:dyDescent="0.2">
      <c r="A784" s="83">
        <v>882</v>
      </c>
      <c r="B784" s="4">
        <v>69.559600000000003</v>
      </c>
      <c r="C784" s="4">
        <v>28.9758</v>
      </c>
      <c r="D784" s="4">
        <v>40.583799999999997</v>
      </c>
    </row>
    <row r="785" spans="1:4" x14ac:dyDescent="0.2">
      <c r="A785" s="83">
        <v>883</v>
      </c>
      <c r="B785" s="4">
        <v>69.5608</v>
      </c>
      <c r="C785" s="4" t="s">
        <v>931</v>
      </c>
      <c r="D785" s="4">
        <v>40.397799999999997</v>
      </c>
    </row>
    <row r="786" spans="1:4" x14ac:dyDescent="0.2">
      <c r="A786" s="83">
        <v>884</v>
      </c>
      <c r="B786" s="4">
        <v>69.562100000000001</v>
      </c>
      <c r="C786" s="4">
        <v>29.351099999999999</v>
      </c>
      <c r="D786" s="4">
        <v>40.210999999999999</v>
      </c>
    </row>
    <row r="787" spans="1:4" x14ac:dyDescent="0.2">
      <c r="A787" s="83">
        <v>885</v>
      </c>
      <c r="B787" s="4">
        <v>69.563400000000001</v>
      </c>
      <c r="C787" s="4">
        <v>29.540199999999999</v>
      </c>
      <c r="D787" s="4">
        <v>40.023200000000003</v>
      </c>
    </row>
    <row r="788" spans="1:4" x14ac:dyDescent="0.2">
      <c r="A788" s="83">
        <v>886</v>
      </c>
      <c r="B788" s="4">
        <v>69.564599999999999</v>
      </c>
      <c r="C788" s="4">
        <v>29.723199999999999</v>
      </c>
      <c r="D788" s="4">
        <v>39.8414</v>
      </c>
    </row>
    <row r="789" spans="1:4" x14ac:dyDescent="0.2">
      <c r="A789" s="83">
        <v>887</v>
      </c>
      <c r="B789" s="4">
        <v>69.565799999999996</v>
      </c>
      <c r="C789" s="4">
        <v>29.9072</v>
      </c>
      <c r="D789" s="4">
        <v>39.6586</v>
      </c>
    </row>
    <row r="790" spans="1:4" x14ac:dyDescent="0.2">
      <c r="A790" s="83">
        <v>888</v>
      </c>
      <c r="B790" s="4" t="s">
        <v>932</v>
      </c>
      <c r="C790" s="4" t="s">
        <v>933</v>
      </c>
      <c r="D790" s="4">
        <v>39.475000000000001</v>
      </c>
    </row>
    <row r="791" spans="1:4" x14ac:dyDescent="0.2">
      <c r="A791" s="83">
        <v>889</v>
      </c>
      <c r="B791" s="4">
        <v>69.568299999999994</v>
      </c>
      <c r="C791" s="4">
        <v>30.277699999999999</v>
      </c>
      <c r="D791" s="4">
        <v>39.290599999999998</v>
      </c>
    </row>
    <row r="792" spans="1:4" x14ac:dyDescent="0.2">
      <c r="A792" s="83">
        <v>890</v>
      </c>
      <c r="B792" s="4">
        <v>69.569500000000005</v>
      </c>
      <c r="C792" s="4">
        <v>30.464300000000001</v>
      </c>
      <c r="D792" s="4">
        <v>39.105200000000004</v>
      </c>
    </row>
    <row r="793" spans="1:4" x14ac:dyDescent="0.2">
      <c r="A793" s="83">
        <v>891</v>
      </c>
      <c r="B793" s="4">
        <v>69.570700000000002</v>
      </c>
      <c r="C793" s="4" t="s">
        <v>934</v>
      </c>
      <c r="D793" s="4">
        <v>38.924700000000001</v>
      </c>
    </row>
    <row r="794" spans="1:4" x14ac:dyDescent="0.2">
      <c r="A794" s="83">
        <v>892</v>
      </c>
      <c r="B794" s="4">
        <v>69.571799999999996</v>
      </c>
      <c r="C794" s="4">
        <v>30.828600000000002</v>
      </c>
      <c r="D794" s="4">
        <v>38.743200000000002</v>
      </c>
    </row>
    <row r="795" spans="1:4" x14ac:dyDescent="0.2">
      <c r="A795" s="83">
        <v>893</v>
      </c>
      <c r="B795" s="4" t="s">
        <v>935</v>
      </c>
      <c r="C795" s="4" t="s">
        <v>936</v>
      </c>
      <c r="D795" s="4">
        <v>38.561</v>
      </c>
    </row>
    <row r="796" spans="1:4" x14ac:dyDescent="0.2">
      <c r="A796" s="83">
        <v>894</v>
      </c>
      <c r="B796" s="4">
        <v>69.574200000000005</v>
      </c>
      <c r="C796" s="4">
        <v>31.196300000000001</v>
      </c>
      <c r="D796" s="4">
        <v>38.377899999999997</v>
      </c>
    </row>
    <row r="797" spans="1:4" x14ac:dyDescent="0.2">
      <c r="A797" s="83">
        <v>895</v>
      </c>
      <c r="B797" s="4">
        <v>69.575400000000002</v>
      </c>
      <c r="C797" s="4">
        <v>31.381399999999999</v>
      </c>
      <c r="D797" s="4">
        <v>38.194000000000003</v>
      </c>
    </row>
    <row r="798" spans="1:4" x14ac:dyDescent="0.2">
      <c r="A798" s="83">
        <v>896</v>
      </c>
      <c r="B798" s="4">
        <v>69.576599999999999</v>
      </c>
      <c r="C798" s="4">
        <v>31.561499999999999</v>
      </c>
      <c r="D798" s="4">
        <v>38.015099999999997</v>
      </c>
    </row>
    <row r="799" spans="1:4" x14ac:dyDescent="0.2">
      <c r="A799" s="83">
        <v>897</v>
      </c>
      <c r="B799" s="4">
        <v>69.577799999999996</v>
      </c>
      <c r="C799" s="4">
        <v>31.7424</v>
      </c>
      <c r="D799" s="4">
        <v>37.8354</v>
      </c>
    </row>
    <row r="800" spans="1:4" x14ac:dyDescent="0.2">
      <c r="A800" s="83">
        <v>898</v>
      </c>
      <c r="B800" s="4">
        <v>69.579099999999997</v>
      </c>
      <c r="C800" s="4">
        <v>31.924099999999999</v>
      </c>
      <c r="D800" s="4">
        <v>37.655000000000001</v>
      </c>
    </row>
    <row r="801" spans="1:4" x14ac:dyDescent="0.2">
      <c r="A801" s="83">
        <v>899</v>
      </c>
      <c r="B801" s="4">
        <v>69.580299999999994</v>
      </c>
      <c r="C801" s="4">
        <v>32.1066</v>
      </c>
      <c r="D801" s="4">
        <v>37.473700000000001</v>
      </c>
    </row>
    <row r="802" spans="1:4" x14ac:dyDescent="0.2">
      <c r="A802" s="83">
        <v>900</v>
      </c>
      <c r="B802" s="4">
        <v>69.581599999999995</v>
      </c>
      <c r="C802" s="4">
        <v>32.289900000000003</v>
      </c>
      <c r="D802" s="4">
        <v>37.291699999999999</v>
      </c>
    </row>
    <row r="803" spans="1:4" x14ac:dyDescent="0.2">
      <c r="A803" s="83">
        <v>901</v>
      </c>
      <c r="B803" s="4">
        <v>69.582700000000003</v>
      </c>
      <c r="C803" s="4">
        <v>32.4664</v>
      </c>
      <c r="D803" s="4">
        <v>37.116300000000003</v>
      </c>
    </row>
    <row r="804" spans="1:4" x14ac:dyDescent="0.2">
      <c r="A804" s="83">
        <v>902</v>
      </c>
      <c r="B804" s="4">
        <v>69.583799999999997</v>
      </c>
      <c r="C804" s="4">
        <v>32.643599999999999</v>
      </c>
      <c r="D804" s="4">
        <v>36.940199999999997</v>
      </c>
    </row>
    <row r="805" spans="1:4" x14ac:dyDescent="0.2">
      <c r="A805" s="83">
        <v>903</v>
      </c>
      <c r="B805" s="4" t="s">
        <v>937</v>
      </c>
      <c r="C805" s="4">
        <v>32.821599999999997</v>
      </c>
      <c r="D805" s="4">
        <v>36.763399999999997</v>
      </c>
    </row>
    <row r="806" spans="1:4" x14ac:dyDescent="0.2">
      <c r="A806" s="83">
        <v>904</v>
      </c>
      <c r="B806" s="4">
        <v>69.586100000000002</v>
      </c>
      <c r="C806" s="4">
        <v>33.000300000000003</v>
      </c>
      <c r="D806" s="4">
        <v>36.585799999999999</v>
      </c>
    </row>
    <row r="807" spans="1:4" x14ac:dyDescent="0.2">
      <c r="A807" s="83">
        <v>905</v>
      </c>
      <c r="B807" s="4">
        <v>69.587299999999999</v>
      </c>
      <c r="C807" s="4">
        <v>33.179699999999997</v>
      </c>
      <c r="D807" s="4">
        <v>36.407600000000002</v>
      </c>
    </row>
    <row r="808" spans="1:4" x14ac:dyDescent="0.2">
      <c r="A808" s="83">
        <v>906</v>
      </c>
      <c r="B808" s="4">
        <v>69.588399999999993</v>
      </c>
      <c r="C808" s="4">
        <v>33.355200000000004</v>
      </c>
      <c r="D808" s="4">
        <v>36.233199999999997</v>
      </c>
    </row>
    <row r="809" spans="1:4" x14ac:dyDescent="0.2">
      <c r="A809" s="83">
        <v>907</v>
      </c>
      <c r="B809" s="4">
        <v>69.589600000000004</v>
      </c>
      <c r="C809" s="4">
        <v>33.531399999999998</v>
      </c>
      <c r="D809" s="4">
        <v>36.058199999999999</v>
      </c>
    </row>
    <row r="810" spans="1:4" x14ac:dyDescent="0.2">
      <c r="A810" s="83">
        <v>908</v>
      </c>
      <c r="B810" s="4">
        <v>69.590800000000002</v>
      </c>
      <c r="C810" s="4">
        <v>33.708399999999997</v>
      </c>
      <c r="D810" s="4">
        <v>35.882399999999997</v>
      </c>
    </row>
    <row r="811" spans="1:4" x14ac:dyDescent="0.2">
      <c r="A811" s="83">
        <v>909</v>
      </c>
      <c r="B811" s="4" t="s">
        <v>938</v>
      </c>
      <c r="C811" s="4" t="s">
        <v>939</v>
      </c>
      <c r="D811" s="4">
        <v>35.706000000000003</v>
      </c>
    </row>
    <row r="812" spans="1:4" x14ac:dyDescent="0.2">
      <c r="A812" s="83">
        <v>910</v>
      </c>
      <c r="B812" s="4">
        <v>69.593199999999996</v>
      </c>
      <c r="C812" s="4">
        <v>34.064300000000003</v>
      </c>
      <c r="D812" s="4">
        <v>35.5289</v>
      </c>
    </row>
    <row r="813" spans="1:4" x14ac:dyDescent="0.2">
      <c r="A813" s="83">
        <v>911</v>
      </c>
      <c r="B813" s="4">
        <v>69.594300000000004</v>
      </c>
      <c r="C813" s="4">
        <v>34.235399999999998</v>
      </c>
      <c r="D813" s="4">
        <v>35.358899999999998</v>
      </c>
    </row>
    <row r="814" spans="1:4" x14ac:dyDescent="0.2">
      <c r="A814" s="83">
        <v>912</v>
      </c>
      <c r="B814" s="4">
        <v>69.595500000000001</v>
      </c>
      <c r="C814" s="4">
        <v>34.4071</v>
      </c>
      <c r="D814" s="4">
        <v>35.188400000000001</v>
      </c>
    </row>
    <row r="815" spans="1:4" x14ac:dyDescent="0.2">
      <c r="A815" s="83">
        <v>913</v>
      </c>
      <c r="B815" s="4">
        <v>69.596599999999995</v>
      </c>
      <c r="C815" s="4">
        <v>34.579500000000003</v>
      </c>
      <c r="D815" s="4">
        <v>35.017099999999999</v>
      </c>
    </row>
    <row r="816" spans="1:4" x14ac:dyDescent="0.2">
      <c r="A816" s="83">
        <v>914</v>
      </c>
      <c r="B816" s="4">
        <v>69.597800000000007</v>
      </c>
      <c r="C816" s="4">
        <v>34.752499999999998</v>
      </c>
      <c r="D816" s="4">
        <v>34.845300000000002</v>
      </c>
    </row>
    <row r="817" spans="1:4" x14ac:dyDescent="0.2">
      <c r="A817" s="83">
        <v>915</v>
      </c>
      <c r="B817" s="4">
        <v>69.5989</v>
      </c>
      <c r="C817" s="4">
        <v>34.926099999999998</v>
      </c>
      <c r="D817" s="4">
        <v>34.672800000000002</v>
      </c>
    </row>
    <row r="818" spans="1:4" x14ac:dyDescent="0.2">
      <c r="A818" s="83">
        <v>916</v>
      </c>
      <c r="B818" s="4" t="s">
        <v>940</v>
      </c>
      <c r="C818" s="4">
        <v>35.093800000000002</v>
      </c>
      <c r="D818" s="4">
        <v>34.5062</v>
      </c>
    </row>
    <row r="819" spans="1:4" x14ac:dyDescent="0.2">
      <c r="A819" s="83">
        <v>917</v>
      </c>
      <c r="B819" s="4">
        <v>69.601100000000002</v>
      </c>
      <c r="C819" s="4">
        <v>35.262099999999997</v>
      </c>
      <c r="D819" s="4">
        <v>34.338999999999999</v>
      </c>
    </row>
    <row r="820" spans="1:4" x14ac:dyDescent="0.2">
      <c r="A820" s="83">
        <v>918</v>
      </c>
      <c r="B820" s="4">
        <v>69.602199999999996</v>
      </c>
      <c r="C820" s="4">
        <v>35.431100000000001</v>
      </c>
      <c r="D820" s="4">
        <v>34.171100000000003</v>
      </c>
    </row>
    <row r="821" spans="1:4" x14ac:dyDescent="0.2">
      <c r="A821" s="83">
        <v>919</v>
      </c>
      <c r="B821" s="4">
        <v>69.603300000000004</v>
      </c>
      <c r="C821" s="4">
        <v>35.600499999999997</v>
      </c>
      <c r="D821" s="4">
        <v>34.002800000000001</v>
      </c>
    </row>
    <row r="822" spans="1:4" x14ac:dyDescent="0.2">
      <c r="A822" s="83">
        <v>920</v>
      </c>
      <c r="B822" s="4">
        <v>69.604500000000002</v>
      </c>
      <c r="C822" s="4">
        <v>35.770600000000002</v>
      </c>
      <c r="D822" s="4">
        <v>33.8339</v>
      </c>
    </row>
    <row r="823" spans="1:4" x14ac:dyDescent="0.2">
      <c r="A823" s="83">
        <v>921</v>
      </c>
      <c r="B823" s="4">
        <v>69.605599999999995</v>
      </c>
      <c r="C823" s="4">
        <v>35.934699999999999</v>
      </c>
      <c r="D823" s="4">
        <v>33.670900000000003</v>
      </c>
    </row>
    <row r="824" spans="1:4" x14ac:dyDescent="0.2">
      <c r="A824" s="83">
        <v>922</v>
      </c>
      <c r="B824" s="4">
        <v>69.606700000000004</v>
      </c>
      <c r="C824" s="4">
        <v>36.099299999999999</v>
      </c>
      <c r="D824" s="4">
        <v>33.507399999999997</v>
      </c>
    </row>
    <row r="825" spans="1:4" x14ac:dyDescent="0.2">
      <c r="A825" s="83">
        <v>923</v>
      </c>
      <c r="B825" s="4">
        <v>69.607799999999997</v>
      </c>
      <c r="C825" s="4">
        <v>36.264400000000002</v>
      </c>
      <c r="D825" s="4">
        <v>33.343400000000003</v>
      </c>
    </row>
    <row r="826" spans="1:4" x14ac:dyDescent="0.2">
      <c r="A826" s="83">
        <v>924</v>
      </c>
      <c r="B826" s="4" t="s">
        <v>941</v>
      </c>
      <c r="C826" s="4">
        <v>36.430100000000003</v>
      </c>
      <c r="D826" s="4">
        <v>33.178899999999999</v>
      </c>
    </row>
    <row r="827" spans="1:4" x14ac:dyDescent="0.2">
      <c r="A827" s="83">
        <v>925</v>
      </c>
      <c r="B827" s="4">
        <v>69.610100000000003</v>
      </c>
      <c r="C827" s="4">
        <v>36.596299999999999</v>
      </c>
      <c r="D827" s="4">
        <v>33.013800000000003</v>
      </c>
    </row>
    <row r="828" spans="1:4" x14ac:dyDescent="0.2">
      <c r="A828" s="83">
        <v>926</v>
      </c>
      <c r="B828" s="4">
        <v>69.611199999999997</v>
      </c>
      <c r="C828" s="4">
        <v>36.757800000000003</v>
      </c>
      <c r="D828" s="4">
        <v>32.853400000000001</v>
      </c>
    </row>
    <row r="829" spans="1:4" x14ac:dyDescent="0.2">
      <c r="A829" s="83">
        <v>927</v>
      </c>
      <c r="B829" s="4">
        <v>69.612200000000001</v>
      </c>
      <c r="C829" s="4">
        <v>36.919899999999998</v>
      </c>
      <c r="D829" s="4">
        <v>32.692300000000003</v>
      </c>
    </row>
    <row r="830" spans="1:4" x14ac:dyDescent="0.2">
      <c r="A830" s="83">
        <v>928</v>
      </c>
      <c r="B830" s="4">
        <v>69.613299999999995</v>
      </c>
      <c r="C830" s="4">
        <v>37.082500000000003</v>
      </c>
      <c r="D830" s="4">
        <v>32.530799999999999</v>
      </c>
    </row>
    <row r="831" spans="1:4" x14ac:dyDescent="0.2">
      <c r="A831" s="83">
        <v>929</v>
      </c>
      <c r="B831" s="4">
        <v>69.614400000000003</v>
      </c>
      <c r="C831" s="4">
        <v>37.245600000000003</v>
      </c>
      <c r="D831" s="4">
        <v>32.3688</v>
      </c>
    </row>
    <row r="832" spans="1:4" x14ac:dyDescent="0.2">
      <c r="A832" s="83">
        <v>930</v>
      </c>
      <c r="B832" s="4">
        <v>69.615499999999997</v>
      </c>
      <c r="C832" s="4">
        <v>37.409199999999998</v>
      </c>
      <c r="D832" s="4">
        <v>32.206299999999999</v>
      </c>
    </row>
    <row r="833" spans="1:4" x14ac:dyDescent="0.2">
      <c r="A833" s="83">
        <v>931</v>
      </c>
      <c r="B833" s="4">
        <v>69.616500000000002</v>
      </c>
      <c r="C833" s="4">
        <v>37.566400000000002</v>
      </c>
      <c r="D833" s="4">
        <v>32.0501</v>
      </c>
    </row>
    <row r="834" spans="1:4" x14ac:dyDescent="0.2">
      <c r="A834" s="83">
        <v>932</v>
      </c>
      <c r="B834" s="4">
        <v>69.617599999999996</v>
      </c>
      <c r="C834" s="4">
        <v>37.7241</v>
      </c>
      <c r="D834" s="4">
        <v>31.8935</v>
      </c>
    </row>
    <row r="835" spans="1:4" x14ac:dyDescent="0.2">
      <c r="A835" s="83">
        <v>933</v>
      </c>
      <c r="B835" s="4">
        <v>69.618600000000001</v>
      </c>
      <c r="C835" s="4">
        <v>37.882199999999997</v>
      </c>
      <c r="D835" s="4">
        <v>31.7364</v>
      </c>
    </row>
    <row r="836" spans="1:4" x14ac:dyDescent="0.2">
      <c r="A836" s="83">
        <v>934</v>
      </c>
      <c r="B836" s="4">
        <v>69.619699999999995</v>
      </c>
      <c r="C836" s="4">
        <v>38.040700000000001</v>
      </c>
      <c r="D836" s="4">
        <v>31.579000000000001</v>
      </c>
    </row>
    <row r="837" spans="1:4" x14ac:dyDescent="0.2">
      <c r="A837" s="83">
        <v>935</v>
      </c>
      <c r="B837" s="4">
        <v>69.620800000000003</v>
      </c>
      <c r="C837" s="4">
        <v>38.1997</v>
      </c>
      <c r="D837" s="4">
        <v>31.421099999999999</v>
      </c>
    </row>
    <row r="838" spans="1:4" x14ac:dyDescent="0.2">
      <c r="A838" s="83">
        <v>936</v>
      </c>
      <c r="B838" s="4">
        <v>69.621799999999993</v>
      </c>
      <c r="C838" s="4">
        <v>38.3538</v>
      </c>
      <c r="D838" s="4">
        <v>31.268000000000001</v>
      </c>
    </row>
    <row r="839" spans="1:4" x14ac:dyDescent="0.2">
      <c r="A839" s="83">
        <v>937</v>
      </c>
      <c r="B839" s="4">
        <v>69.622900000000001</v>
      </c>
      <c r="C839" s="4">
        <v>38.508400000000002</v>
      </c>
      <c r="D839" s="4">
        <v>31.1145</v>
      </c>
    </row>
    <row r="840" spans="1:4" x14ac:dyDescent="0.2">
      <c r="A840" s="83">
        <v>938</v>
      </c>
      <c r="B840" s="4">
        <v>69.623900000000006</v>
      </c>
      <c r="C840" s="4">
        <v>38.6633</v>
      </c>
      <c r="D840" s="4">
        <v>30.960599999999999</v>
      </c>
    </row>
    <row r="841" spans="1:4" x14ac:dyDescent="0.2">
      <c r="A841" s="83">
        <v>939</v>
      </c>
      <c r="B841" s="4">
        <v>69.624899999999997</v>
      </c>
      <c r="C841" s="4">
        <v>38.8187</v>
      </c>
      <c r="D841" s="4">
        <v>30.8062</v>
      </c>
    </row>
    <row r="842" spans="1:4" x14ac:dyDescent="0.2">
      <c r="A842" s="83">
        <v>940</v>
      </c>
      <c r="B842" s="4" t="s">
        <v>942</v>
      </c>
      <c r="C842" s="4">
        <v>38.974499999999999</v>
      </c>
      <c r="D842" s="4">
        <v>30.651499999999999</v>
      </c>
    </row>
    <row r="843" spans="1:4" x14ac:dyDescent="0.2">
      <c r="A843" s="83">
        <v>941</v>
      </c>
      <c r="B843" s="4" t="s">
        <v>943</v>
      </c>
      <c r="C843" s="4">
        <v>39.1235</v>
      </c>
      <c r="D843" s="4">
        <v>30.503499999999999</v>
      </c>
    </row>
    <row r="844" spans="1:4" x14ac:dyDescent="0.2">
      <c r="A844" s="83">
        <v>942</v>
      </c>
      <c r="B844" s="4" t="s">
        <v>944</v>
      </c>
      <c r="C844" s="4">
        <v>39.2729</v>
      </c>
      <c r="D844" s="4">
        <v>30.3551</v>
      </c>
    </row>
    <row r="845" spans="1:4" x14ac:dyDescent="0.2">
      <c r="A845" s="83">
        <v>943</v>
      </c>
      <c r="B845" s="4" t="s">
        <v>945</v>
      </c>
      <c r="C845" s="4">
        <v>39.422699999999999</v>
      </c>
      <c r="D845" s="4">
        <v>30.206299999999999</v>
      </c>
    </row>
    <row r="846" spans="1:4" x14ac:dyDescent="0.2">
      <c r="A846" s="83">
        <v>944</v>
      </c>
      <c r="B846" s="4">
        <v>69.63</v>
      </c>
      <c r="C846" s="4">
        <v>39.572800000000001</v>
      </c>
      <c r="D846" s="4">
        <v>30.057200000000002</v>
      </c>
    </row>
    <row r="847" spans="1:4" x14ac:dyDescent="0.2">
      <c r="A847" s="83">
        <v>945</v>
      </c>
      <c r="B847" s="4">
        <v>69.631100000000004</v>
      </c>
      <c r="C847" s="4">
        <v>39.723300000000002</v>
      </c>
      <c r="D847" s="4">
        <v>29.907800000000002</v>
      </c>
    </row>
    <row r="848" spans="1:4" x14ac:dyDescent="0.2">
      <c r="A848" s="83">
        <v>946</v>
      </c>
      <c r="B848" s="4">
        <v>69.632099999999994</v>
      </c>
      <c r="C848" s="4">
        <v>39.866900000000001</v>
      </c>
      <c r="D848" s="4">
        <v>29.7652</v>
      </c>
    </row>
    <row r="849" spans="1:4" x14ac:dyDescent="0.2">
      <c r="A849" s="83">
        <v>947</v>
      </c>
      <c r="B849" s="4">
        <v>69.633099999999999</v>
      </c>
      <c r="C849" s="4">
        <v>40.010800000000003</v>
      </c>
      <c r="D849" s="4">
        <v>29.622299999999999</v>
      </c>
    </row>
    <row r="850" spans="1:4" x14ac:dyDescent="0.2">
      <c r="A850" s="83">
        <v>948</v>
      </c>
      <c r="B850" s="4">
        <v>69.634100000000004</v>
      </c>
      <c r="C850" s="4" t="s">
        <v>946</v>
      </c>
      <c r="D850" s="4">
        <v>29.479099999999999</v>
      </c>
    </row>
    <row r="851" spans="1:4" x14ac:dyDescent="0.2">
      <c r="A851" s="83">
        <v>949</v>
      </c>
      <c r="B851" s="4">
        <v>69.635099999999994</v>
      </c>
      <c r="C851" s="4">
        <v>40.299599999999998</v>
      </c>
      <c r="D851" s="4">
        <v>29.3355</v>
      </c>
    </row>
    <row r="852" spans="1:4" x14ac:dyDescent="0.2">
      <c r="A852" s="83">
        <v>950</v>
      </c>
      <c r="B852" s="4">
        <v>69.636200000000002</v>
      </c>
      <c r="C852" s="4">
        <v>40.444400000000002</v>
      </c>
      <c r="D852" s="4">
        <v>29.191800000000001</v>
      </c>
    </row>
    <row r="853" spans="1:4" x14ac:dyDescent="0.2">
      <c r="A853" s="83">
        <v>951</v>
      </c>
      <c r="B853" s="4">
        <v>69.637200000000007</v>
      </c>
      <c r="C853" s="4">
        <v>40.585900000000002</v>
      </c>
      <c r="D853" s="4">
        <v>29.051300000000001</v>
      </c>
    </row>
    <row r="854" spans="1:4" x14ac:dyDescent="0.2">
      <c r="A854" s="83">
        <v>952</v>
      </c>
      <c r="B854" s="4">
        <v>69.638199999999998</v>
      </c>
      <c r="C854" s="4">
        <v>40.727699999999999</v>
      </c>
      <c r="D854" s="4">
        <v>28.910499999999999</v>
      </c>
    </row>
    <row r="855" spans="1:4" x14ac:dyDescent="0.2">
      <c r="A855" s="83">
        <v>953</v>
      </c>
      <c r="B855" s="4">
        <v>69.639200000000002</v>
      </c>
      <c r="C855" s="4">
        <v>40.869799999999998</v>
      </c>
      <c r="D855" s="4">
        <v>28.769400000000001</v>
      </c>
    </row>
    <row r="856" spans="1:4" x14ac:dyDescent="0.2">
      <c r="A856" s="83">
        <v>954</v>
      </c>
      <c r="B856" s="4">
        <v>69.640299999999996</v>
      </c>
      <c r="C856" s="4">
        <v>41.012099999999997</v>
      </c>
      <c r="D856" s="4">
        <v>28.6282</v>
      </c>
    </row>
    <row r="857" spans="1:4" x14ac:dyDescent="0.2">
      <c r="A857" s="83">
        <v>955</v>
      </c>
      <c r="B857" s="4">
        <v>69.641300000000001</v>
      </c>
      <c r="C857" s="4">
        <v>41.154800000000002</v>
      </c>
      <c r="D857" s="4">
        <v>28.486499999999999</v>
      </c>
    </row>
    <row r="858" spans="1:4" x14ac:dyDescent="0.2">
      <c r="A858" s="83">
        <v>956</v>
      </c>
      <c r="B858" s="4">
        <v>69.642300000000006</v>
      </c>
      <c r="C858" s="4">
        <v>41.290199999999999</v>
      </c>
      <c r="D858" s="4">
        <v>28.3521</v>
      </c>
    </row>
    <row r="859" spans="1:4" x14ac:dyDescent="0.2">
      <c r="A859" s="83">
        <v>957</v>
      </c>
      <c r="B859" s="4">
        <v>69.643299999999996</v>
      </c>
      <c r="C859" s="4">
        <v>41.425899999999999</v>
      </c>
      <c r="D859" s="4">
        <v>28.217400000000001</v>
      </c>
    </row>
    <row r="860" spans="1:4" x14ac:dyDescent="0.2">
      <c r="A860" s="83">
        <v>958</v>
      </c>
      <c r="B860" s="4">
        <v>69.644199999999998</v>
      </c>
      <c r="C860" s="4">
        <v>41.561900000000001</v>
      </c>
      <c r="D860" s="4">
        <v>28.0823</v>
      </c>
    </row>
    <row r="861" spans="1:4" x14ac:dyDescent="0.2">
      <c r="A861" s="83">
        <v>959</v>
      </c>
      <c r="B861" s="4">
        <v>69.645200000000003</v>
      </c>
      <c r="C861" s="4">
        <v>41.698099999999997</v>
      </c>
      <c r="D861" s="4">
        <v>27.947099999999999</v>
      </c>
    </row>
    <row r="862" spans="1:4" x14ac:dyDescent="0.2">
      <c r="A862" s="83">
        <v>960</v>
      </c>
      <c r="B862" s="4">
        <v>69.646299999999997</v>
      </c>
      <c r="C862" s="4">
        <v>41.834499999999998</v>
      </c>
      <c r="D862" s="4">
        <v>27.811800000000002</v>
      </c>
    </row>
    <row r="863" spans="1:4" x14ac:dyDescent="0.2">
      <c r="A863" s="83">
        <v>961</v>
      </c>
      <c r="B863" s="4">
        <v>69.647199999999998</v>
      </c>
      <c r="C863" s="4">
        <v>41.965499999999999</v>
      </c>
      <c r="D863" s="4">
        <v>27.681699999999999</v>
      </c>
    </row>
    <row r="864" spans="1:4" x14ac:dyDescent="0.2">
      <c r="A864" s="83">
        <v>962</v>
      </c>
      <c r="B864" s="4">
        <v>69.648099999999999</v>
      </c>
      <c r="C864" s="4">
        <v>42.096600000000002</v>
      </c>
      <c r="D864" s="4">
        <v>27.551500000000001</v>
      </c>
    </row>
    <row r="865" spans="1:4" x14ac:dyDescent="0.2">
      <c r="A865" s="83">
        <v>963</v>
      </c>
      <c r="B865" s="4">
        <v>69.649100000000004</v>
      </c>
      <c r="C865" s="4" t="s">
        <v>947</v>
      </c>
      <c r="D865" s="4">
        <v>27.421099999999999</v>
      </c>
    </row>
    <row r="866" spans="1:4" x14ac:dyDescent="0.2">
      <c r="A866" s="83">
        <v>964</v>
      </c>
      <c r="B866" s="4">
        <v>69.650099999999995</v>
      </c>
      <c r="C866" s="4">
        <v>42.359699999999997</v>
      </c>
      <c r="D866" s="4">
        <v>27.290400000000002</v>
      </c>
    </row>
    <row r="867" spans="1:4" x14ac:dyDescent="0.2">
      <c r="A867" s="83">
        <v>965</v>
      </c>
      <c r="B867" s="4" t="s">
        <v>948</v>
      </c>
      <c r="C867" s="4">
        <v>42.491500000000002</v>
      </c>
      <c r="D867" s="4">
        <v>27.159500000000001</v>
      </c>
    </row>
    <row r="868" spans="1:4" x14ac:dyDescent="0.2">
      <c r="A868" s="83">
        <v>966</v>
      </c>
      <c r="B868" s="4" t="s">
        <v>949</v>
      </c>
      <c r="C868" s="4">
        <v>42.617800000000003</v>
      </c>
      <c r="D868" s="4">
        <v>27.034199999999998</v>
      </c>
    </row>
    <row r="869" spans="1:4" x14ac:dyDescent="0.2">
      <c r="A869" s="83">
        <v>967</v>
      </c>
      <c r="B869" s="4">
        <v>69.652900000000002</v>
      </c>
      <c r="C869" s="4">
        <v>42.744300000000003</v>
      </c>
      <c r="D869" s="4">
        <v>26.9086</v>
      </c>
    </row>
    <row r="870" spans="1:4" x14ac:dyDescent="0.2">
      <c r="A870" s="83">
        <v>968</v>
      </c>
      <c r="B870" s="4">
        <v>69.653899999999993</v>
      </c>
      <c r="C870" s="4">
        <v>42.870899999999999</v>
      </c>
      <c r="D870" s="4">
        <v>26.783000000000001</v>
      </c>
    </row>
    <row r="871" spans="1:4" x14ac:dyDescent="0.2">
      <c r="A871" s="83">
        <v>969</v>
      </c>
      <c r="B871" s="4">
        <v>69.654899999999998</v>
      </c>
      <c r="C871" s="4">
        <v>42.997799999999998</v>
      </c>
      <c r="D871" s="4">
        <v>26.6571</v>
      </c>
    </row>
    <row r="872" spans="1:4" x14ac:dyDescent="0.2">
      <c r="A872" s="83">
        <v>970</v>
      </c>
      <c r="B872" s="4">
        <v>69.655900000000003</v>
      </c>
      <c r="C872" s="4">
        <v>43.124899999999997</v>
      </c>
      <c r="D872" s="4">
        <v>26.530999999999999</v>
      </c>
    </row>
    <row r="873" spans="1:4" x14ac:dyDescent="0.2">
      <c r="A873" s="83">
        <v>971</v>
      </c>
      <c r="B873" s="4">
        <v>69.656800000000004</v>
      </c>
      <c r="C873" s="4">
        <v>43.246200000000002</v>
      </c>
      <c r="D873" s="4">
        <v>26.410599999999999</v>
      </c>
    </row>
    <row r="874" spans="1:4" x14ac:dyDescent="0.2">
      <c r="A874" s="83">
        <v>972</v>
      </c>
      <c r="B874" s="4">
        <v>69.657700000000006</v>
      </c>
      <c r="C874" s="4">
        <v>43.367699999999999</v>
      </c>
      <c r="D874" s="4">
        <v>26.29</v>
      </c>
    </row>
    <row r="875" spans="1:4" x14ac:dyDescent="0.2">
      <c r="A875" s="83">
        <v>973</v>
      </c>
      <c r="B875" s="4">
        <v>69.658600000000007</v>
      </c>
      <c r="C875" s="4">
        <v>43.4893</v>
      </c>
      <c r="D875" s="4">
        <v>26.1693</v>
      </c>
    </row>
    <row r="876" spans="1:4" x14ac:dyDescent="0.2">
      <c r="A876" s="83">
        <v>974</v>
      </c>
      <c r="B876" s="4">
        <v>69.659499999999994</v>
      </c>
      <c r="C876" s="4">
        <v>43.611199999999997</v>
      </c>
      <c r="D876" s="4">
        <v>26.048300000000001</v>
      </c>
    </row>
    <row r="877" spans="1:4" x14ac:dyDescent="0.2">
      <c r="A877" s="83">
        <v>975</v>
      </c>
      <c r="B877" s="4">
        <v>69.660499999999999</v>
      </c>
      <c r="C877" s="4">
        <v>43.733199999999997</v>
      </c>
      <c r="D877" s="4">
        <v>25.927299999999999</v>
      </c>
    </row>
    <row r="878" spans="1:4" x14ac:dyDescent="0.2">
      <c r="A878" s="83">
        <v>976</v>
      </c>
      <c r="B878" s="4">
        <v>69.6614</v>
      </c>
      <c r="C878" s="4">
        <v>43.851300000000002</v>
      </c>
      <c r="D878" s="4">
        <v>25.810099999999998</v>
      </c>
    </row>
    <row r="879" spans="1:4" x14ac:dyDescent="0.2">
      <c r="A879" s="83">
        <v>977</v>
      </c>
      <c r="B879" s="4">
        <v>69.662300000000002</v>
      </c>
      <c r="C879" s="4">
        <v>43.969700000000003</v>
      </c>
      <c r="D879" s="4">
        <v>25.692599999999999</v>
      </c>
    </row>
    <row r="880" spans="1:4" x14ac:dyDescent="0.2">
      <c r="A880" s="83">
        <v>978</v>
      </c>
      <c r="B880" s="4">
        <v>69.663200000000003</v>
      </c>
      <c r="C880" s="4">
        <v>44.088200000000001</v>
      </c>
      <c r="D880" s="4">
        <v>25.574999999999999</v>
      </c>
    </row>
    <row r="881" spans="1:4" x14ac:dyDescent="0.2">
      <c r="A881" s="83">
        <v>979</v>
      </c>
      <c r="B881" s="4">
        <v>69.664199999999994</v>
      </c>
      <c r="C881" s="4">
        <v>44.206800000000001</v>
      </c>
      <c r="D881" s="4">
        <v>25.4574</v>
      </c>
    </row>
    <row r="882" spans="1:4" x14ac:dyDescent="0.2">
      <c r="A882" s="83">
        <v>980</v>
      </c>
      <c r="B882" s="4">
        <v>69.665099999999995</v>
      </c>
      <c r="C882" s="4">
        <v>44.325600000000001</v>
      </c>
      <c r="D882" s="4">
        <v>25.339500000000001</v>
      </c>
    </row>
    <row r="883" spans="1:4" x14ac:dyDescent="0.2">
      <c r="A883" s="83">
        <v>981</v>
      </c>
      <c r="B883" s="4" t="s">
        <v>950</v>
      </c>
      <c r="C883" s="4">
        <v>44.436500000000002</v>
      </c>
      <c r="D883" s="4">
        <v>25.229500000000002</v>
      </c>
    </row>
    <row r="884" spans="1:4" x14ac:dyDescent="0.2">
      <c r="A884" s="83">
        <v>982</v>
      </c>
      <c r="B884" s="4">
        <v>69.666899999999998</v>
      </c>
      <c r="C884" s="4">
        <v>44.547499999999999</v>
      </c>
      <c r="D884" s="4">
        <v>25.119399999999999</v>
      </c>
    </row>
    <row r="885" spans="1:4" x14ac:dyDescent="0.2">
      <c r="A885" s="83">
        <v>983</v>
      </c>
      <c r="B885" s="4">
        <v>69.667699999999996</v>
      </c>
      <c r="C885" s="4">
        <v>44.6586</v>
      </c>
      <c r="D885" s="4">
        <v>25.0091</v>
      </c>
    </row>
    <row r="886" spans="1:4" x14ac:dyDescent="0.2">
      <c r="A886" s="83">
        <v>984</v>
      </c>
      <c r="B886" s="4">
        <v>69.668599999999998</v>
      </c>
      <c r="C886" s="4">
        <v>44.769799999999996</v>
      </c>
      <c r="D886" s="4">
        <v>24.898800000000001</v>
      </c>
    </row>
    <row r="887" spans="1:4" x14ac:dyDescent="0.2">
      <c r="A887" s="83">
        <v>985</v>
      </c>
      <c r="B887" s="4">
        <v>69.669499999999999</v>
      </c>
      <c r="C887" s="4">
        <v>44.881100000000004</v>
      </c>
      <c r="D887" s="4">
        <v>24.788399999999999</v>
      </c>
    </row>
    <row r="888" spans="1:4" x14ac:dyDescent="0.2">
      <c r="A888" s="83">
        <v>986</v>
      </c>
      <c r="B888" s="4">
        <v>69.670400000000001</v>
      </c>
      <c r="C888" s="4">
        <v>44.988500000000002</v>
      </c>
      <c r="D888" s="4">
        <v>24.681899999999999</v>
      </c>
    </row>
    <row r="889" spans="1:4" x14ac:dyDescent="0.2">
      <c r="A889" s="83">
        <v>987</v>
      </c>
      <c r="B889" s="4">
        <v>69.671300000000002</v>
      </c>
      <c r="C889" s="4">
        <v>45.0959</v>
      </c>
      <c r="D889" s="4">
        <v>24.575399999999998</v>
      </c>
    </row>
    <row r="890" spans="1:4" x14ac:dyDescent="0.2">
      <c r="A890" s="83">
        <v>988</v>
      </c>
      <c r="B890" s="4">
        <v>69.6721</v>
      </c>
      <c r="C890" s="4">
        <v>45.203499999999998</v>
      </c>
      <c r="D890" s="4">
        <v>24.468599999999999</v>
      </c>
    </row>
    <row r="891" spans="1:4" x14ac:dyDescent="0.2">
      <c r="A891" s="83">
        <v>989</v>
      </c>
      <c r="B891" s="4" t="s">
        <v>951</v>
      </c>
      <c r="C891" s="4">
        <v>45.311199999999999</v>
      </c>
      <c r="D891" s="4">
        <v>24.361799999999999</v>
      </c>
    </row>
    <row r="892" spans="1:4" x14ac:dyDescent="0.2">
      <c r="A892" s="83">
        <v>990</v>
      </c>
      <c r="B892" s="4">
        <v>69.673900000000003</v>
      </c>
      <c r="C892" s="4" t="s">
        <v>952</v>
      </c>
      <c r="D892" s="4">
        <v>24.254899999999999</v>
      </c>
    </row>
    <row r="893" spans="1:4" x14ac:dyDescent="0.2">
      <c r="A893" s="83">
        <v>991</v>
      </c>
      <c r="B893" s="4">
        <v>69.674800000000005</v>
      </c>
      <c r="C893" s="4">
        <v>45.520699999999998</v>
      </c>
      <c r="D893" s="4">
        <v>24.1541</v>
      </c>
    </row>
    <row r="894" spans="1:4" x14ac:dyDescent="0.2">
      <c r="A894" s="83">
        <v>992</v>
      </c>
      <c r="B894" s="4">
        <v>69.675700000000006</v>
      </c>
      <c r="C894" s="4">
        <v>45.622500000000002</v>
      </c>
      <c r="D894" s="4">
        <v>24.0532</v>
      </c>
    </row>
    <row r="895" spans="1:4" x14ac:dyDescent="0.2">
      <c r="A895" s="83">
        <v>993</v>
      </c>
      <c r="B895" s="4">
        <v>69.676599999999993</v>
      </c>
      <c r="C895" s="4">
        <v>45.724400000000003</v>
      </c>
      <c r="D895" s="4">
        <v>23.952200000000001</v>
      </c>
    </row>
    <row r="896" spans="1:4" x14ac:dyDescent="0.2">
      <c r="A896" s="83">
        <v>994</v>
      </c>
      <c r="B896" s="4">
        <v>69.677499999999995</v>
      </c>
      <c r="C896" s="4">
        <v>45.826300000000003</v>
      </c>
      <c r="D896" s="4">
        <v>23.851199999999999</v>
      </c>
    </row>
    <row r="897" spans="1:4" x14ac:dyDescent="0.2">
      <c r="A897" s="83">
        <v>995</v>
      </c>
      <c r="B897" s="4">
        <v>69.678399999999996</v>
      </c>
      <c r="C897" s="4">
        <v>45.928400000000003</v>
      </c>
      <c r="D897" s="4">
        <v>23.75</v>
      </c>
    </row>
    <row r="898" spans="1:4" x14ac:dyDescent="0.2">
      <c r="A898" s="83">
        <v>996</v>
      </c>
      <c r="B898" s="4">
        <v>69.679199999999994</v>
      </c>
      <c r="C898" s="4">
        <v>46.026299999999999</v>
      </c>
      <c r="D898" s="4">
        <v>23.652899999999999</v>
      </c>
    </row>
    <row r="899" spans="1:4" x14ac:dyDescent="0.2">
      <c r="A899" s="83">
        <v>997</v>
      </c>
      <c r="B899" s="4">
        <v>69.680000000000007</v>
      </c>
      <c r="C899" s="4">
        <v>46.124299999999998</v>
      </c>
      <c r="D899" s="4">
        <v>23.555700000000002</v>
      </c>
    </row>
    <row r="900" spans="1:4" x14ac:dyDescent="0.2">
      <c r="A900" s="83">
        <v>998</v>
      </c>
      <c r="B900" s="4">
        <v>69.680899999999994</v>
      </c>
      <c r="C900" s="4">
        <v>46.222299999999997</v>
      </c>
      <c r="D900" s="4">
        <v>23.458600000000001</v>
      </c>
    </row>
    <row r="901" spans="1:4" x14ac:dyDescent="0.2">
      <c r="A901" s="83">
        <v>999</v>
      </c>
      <c r="B901" s="4">
        <v>69.681799999999996</v>
      </c>
      <c r="C901" s="4">
        <v>46.320500000000003</v>
      </c>
      <c r="D901" s="4">
        <v>23.3613</v>
      </c>
    </row>
    <row r="902" spans="1:4" x14ac:dyDescent="0.2">
      <c r="A902" s="83" t="s">
        <v>953</v>
      </c>
      <c r="B902" s="4">
        <v>69.682599999999994</v>
      </c>
      <c r="C902" s="4">
        <v>46.418700000000001</v>
      </c>
      <c r="D902" s="4">
        <v>23.2639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7A1BD-E7FA-4B4A-B41F-460A297BCD4F}">
  <dimension ref="A1:G5"/>
  <sheetViews>
    <sheetView workbookViewId="0">
      <selection activeCell="A8" sqref="A8"/>
    </sheetView>
  </sheetViews>
  <sheetFormatPr baseColWidth="10" defaultRowHeight="16" x14ac:dyDescent="0.2"/>
  <cols>
    <col min="1" max="1" width="33.33203125" customWidth="1"/>
  </cols>
  <sheetData>
    <row r="1" spans="1:7" ht="26" x14ac:dyDescent="0.3">
      <c r="A1" s="88"/>
      <c r="B1" s="88" t="s">
        <v>1005</v>
      </c>
      <c r="C1" s="88" t="s">
        <v>1006</v>
      </c>
      <c r="D1" s="88" t="s">
        <v>1007</v>
      </c>
      <c r="E1" s="88" t="s">
        <v>1008</v>
      </c>
      <c r="F1" s="88" t="s">
        <v>1009</v>
      </c>
      <c r="G1" s="88" t="s">
        <v>1010</v>
      </c>
    </row>
    <row r="2" spans="1:7" ht="26" x14ac:dyDescent="0.3">
      <c r="A2" s="88" t="s">
        <v>1004</v>
      </c>
      <c r="B2" s="89">
        <v>92</v>
      </c>
      <c r="C2" s="90">
        <v>1340</v>
      </c>
      <c r="D2" s="89">
        <v>210</v>
      </c>
      <c r="E2" s="89">
        <v>85</v>
      </c>
      <c r="F2" s="89">
        <v>85</v>
      </c>
      <c r="G2" s="90">
        <f>SUM(B2:F2)</f>
        <v>1812</v>
      </c>
    </row>
    <row r="3" spans="1:7" ht="26" x14ac:dyDescent="0.3">
      <c r="A3" s="88" t="s">
        <v>1011</v>
      </c>
      <c r="B3" s="89">
        <v>396</v>
      </c>
      <c r="C3" s="90">
        <v>1047</v>
      </c>
      <c r="D3" s="89">
        <v>202</v>
      </c>
      <c r="E3" s="89">
        <v>85</v>
      </c>
      <c r="F3" s="89">
        <f>F2</f>
        <v>85</v>
      </c>
      <c r="G3" s="90">
        <v>1816</v>
      </c>
    </row>
    <row r="4" spans="1:7" ht="26" x14ac:dyDescent="0.3">
      <c r="A4" s="88" t="s">
        <v>1111</v>
      </c>
      <c r="B4" s="89">
        <v>338</v>
      </c>
      <c r="C4" s="89">
        <v>634</v>
      </c>
      <c r="D4" s="89">
        <v>661</v>
      </c>
      <c r="E4" s="89">
        <v>119</v>
      </c>
      <c r="F4" s="89">
        <v>85</v>
      </c>
      <c r="G4" s="90">
        <f>SUM(B4:F4)</f>
        <v>1837</v>
      </c>
    </row>
    <row r="5" spans="1:7" ht="26" x14ac:dyDescent="0.3">
      <c r="A5" s="88" t="s">
        <v>1112</v>
      </c>
      <c r="B5" s="89">
        <v>398</v>
      </c>
      <c r="C5" s="89">
        <v>634</v>
      </c>
      <c r="D5" s="89">
        <v>601</v>
      </c>
      <c r="E5" s="89">
        <v>119</v>
      </c>
      <c r="F5" s="89">
        <v>85</v>
      </c>
      <c r="G5" s="90">
        <f>SUM(B5:F5)</f>
        <v>1837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6"/>
  <sheetViews>
    <sheetView workbookViewId="0">
      <selection activeCell="E6" sqref="E6"/>
    </sheetView>
  </sheetViews>
  <sheetFormatPr baseColWidth="10" defaultRowHeight="16" x14ac:dyDescent="0.2"/>
  <sheetData>
    <row r="1" spans="1:18" x14ac:dyDescent="0.2">
      <c r="A1" s="1" t="s">
        <v>19</v>
      </c>
    </row>
    <row r="2" spans="1:18" x14ac:dyDescent="0.2">
      <c r="A2" t="s">
        <v>71</v>
      </c>
      <c r="C2">
        <v>1500</v>
      </c>
      <c r="D2" t="s">
        <v>0</v>
      </c>
    </row>
    <row r="3" spans="1:18" x14ac:dyDescent="0.2">
      <c r="D3" t="s">
        <v>72</v>
      </c>
      <c r="E3" t="s">
        <v>73</v>
      </c>
      <c r="F3" t="s">
        <v>74</v>
      </c>
      <c r="H3" t="s">
        <v>72</v>
      </c>
      <c r="I3" t="s">
        <v>73</v>
      </c>
      <c r="J3" t="s">
        <v>74</v>
      </c>
      <c r="L3" s="24" t="s">
        <v>72</v>
      </c>
      <c r="M3" s="24" t="s">
        <v>73</v>
      </c>
      <c r="N3" s="24" t="s">
        <v>74</v>
      </c>
      <c r="P3" s="24" t="s">
        <v>72</v>
      </c>
      <c r="Q3" s="24" t="s">
        <v>73</v>
      </c>
      <c r="R3" s="24" t="s">
        <v>74</v>
      </c>
    </row>
    <row r="4" spans="1:18" x14ac:dyDescent="0.2">
      <c r="A4" t="s">
        <v>75</v>
      </c>
      <c r="D4">
        <v>0.82</v>
      </c>
      <c r="E4">
        <v>0.87</v>
      </c>
      <c r="F4">
        <v>0.91</v>
      </c>
      <c r="H4">
        <v>0.91</v>
      </c>
      <c r="I4">
        <v>0.91</v>
      </c>
      <c r="J4">
        <v>0.91</v>
      </c>
      <c r="L4" s="25">
        <v>0.8</v>
      </c>
      <c r="M4" s="25">
        <v>0.91</v>
      </c>
      <c r="N4" s="25">
        <v>0.97</v>
      </c>
      <c r="P4" s="25">
        <v>0.85</v>
      </c>
      <c r="Q4" s="25">
        <v>0.91</v>
      </c>
      <c r="R4" s="25">
        <v>0.91</v>
      </c>
    </row>
    <row r="5" spans="1:18" x14ac:dyDescent="0.2">
      <c r="A5" t="s">
        <v>76</v>
      </c>
      <c r="D5" s="26">
        <f>(D4)^2</f>
        <v>0.67239999999999989</v>
      </c>
      <c r="E5" s="26">
        <f>(E4)^2</f>
        <v>0.75690000000000002</v>
      </c>
      <c r="F5" s="26">
        <f>(F4)^4</f>
        <v>0.68574961000000012</v>
      </c>
      <c r="H5" s="26">
        <f>(H4)^4</f>
        <v>0.68574961000000012</v>
      </c>
      <c r="I5" s="26">
        <f>(I4)^4</f>
        <v>0.68574961000000012</v>
      </c>
      <c r="J5" s="26">
        <f>(J4)^4</f>
        <v>0.68574961000000012</v>
      </c>
      <c r="L5" s="27">
        <f>(L4)^4</f>
        <v>0.40960000000000019</v>
      </c>
      <c r="M5" s="27">
        <f>(M4)^4</f>
        <v>0.68574961000000012</v>
      </c>
      <c r="N5" s="27">
        <f>(N4)^4</f>
        <v>0.88529280999999993</v>
      </c>
      <c r="P5" s="27">
        <f>(P4)^4</f>
        <v>0.52200624999999989</v>
      </c>
      <c r="Q5" s="27">
        <f>(Q4)^4</f>
        <v>0.68574961000000012</v>
      </c>
      <c r="R5" s="27">
        <f>(R4)^4</f>
        <v>0.68574961000000012</v>
      </c>
    </row>
    <row r="6" spans="1:18" x14ac:dyDescent="0.2">
      <c r="A6" t="s">
        <v>77</v>
      </c>
      <c r="D6" s="28">
        <v>0.6</v>
      </c>
      <c r="E6" s="28">
        <v>0.55000000000000004</v>
      </c>
      <c r="F6" s="28">
        <v>0.69</v>
      </c>
      <c r="H6" s="29">
        <v>0.55000000000000004</v>
      </c>
      <c r="I6" s="29">
        <v>0.55000000000000004</v>
      </c>
      <c r="J6" s="29">
        <v>0.55000000000000004</v>
      </c>
      <c r="L6" s="29">
        <v>0.55000000000000004</v>
      </c>
      <c r="M6" s="29">
        <v>0.55000000000000004</v>
      </c>
      <c r="N6" s="29">
        <v>0.55000000000000004</v>
      </c>
      <c r="P6" s="29">
        <v>0.5</v>
      </c>
      <c r="Q6" s="29">
        <v>0.55000000000000004</v>
      </c>
      <c r="R6" s="29">
        <v>0.6</v>
      </c>
    </row>
    <row r="7" spans="1:18" x14ac:dyDescent="0.2">
      <c r="A7" t="s">
        <v>78</v>
      </c>
      <c r="D7" s="26">
        <v>0.5</v>
      </c>
      <c r="E7" s="26">
        <v>0.35</v>
      </c>
      <c r="F7" s="26">
        <v>0.35</v>
      </c>
      <c r="H7" s="28">
        <v>0.2</v>
      </c>
      <c r="I7" s="28">
        <v>0.35</v>
      </c>
      <c r="J7" s="28">
        <v>0.45</v>
      </c>
      <c r="L7" s="27">
        <v>0.35</v>
      </c>
      <c r="M7" s="27">
        <v>0.35</v>
      </c>
      <c r="N7" s="27">
        <v>0.35</v>
      </c>
      <c r="P7" s="27">
        <v>0.3</v>
      </c>
      <c r="Q7" s="27">
        <v>0.35</v>
      </c>
      <c r="R7" s="27">
        <v>0.45</v>
      </c>
    </row>
    <row r="8" spans="1:18" x14ac:dyDescent="0.2">
      <c r="D8" s="26"/>
      <c r="E8" s="26"/>
      <c r="F8" s="26"/>
      <c r="H8" s="26"/>
      <c r="I8" s="26"/>
      <c r="J8" s="26"/>
      <c r="L8" s="27"/>
      <c r="M8" s="27"/>
      <c r="N8" s="27"/>
      <c r="P8" s="27"/>
      <c r="Q8" s="27"/>
      <c r="R8" s="27"/>
    </row>
    <row r="9" spans="1:18" x14ac:dyDescent="0.2">
      <c r="A9" t="s">
        <v>79</v>
      </c>
      <c r="D9" s="26">
        <f>D5*(D6)*D7</f>
        <v>0.20171999999999995</v>
      </c>
      <c r="E9" s="26">
        <f>E5*(E6)*E7</f>
        <v>0.14570325000000001</v>
      </c>
      <c r="F9" s="26">
        <f>F5*(F6)*F7</f>
        <v>0.16560853081500002</v>
      </c>
      <c r="H9" s="26">
        <f>H5*(H6)*H7</f>
        <v>7.5432457100000017E-2</v>
      </c>
      <c r="I9" s="26">
        <f>I5*(I6)*I7</f>
        <v>0.13200679992500003</v>
      </c>
      <c r="J9" s="26">
        <f>J5*(J6)*J7</f>
        <v>0.16972302847500004</v>
      </c>
      <c r="L9" s="26">
        <f>L5*(L6)*L7</f>
        <v>7.8848000000000043E-2</v>
      </c>
      <c r="M9" s="26">
        <f>M5*(M6)*M7</f>
        <v>0.13200679992500003</v>
      </c>
      <c r="N9" s="26">
        <f>N5*(N6)*N7</f>
        <v>0.170418865925</v>
      </c>
      <c r="P9" s="26">
        <f>P5*(P6)*P7</f>
        <v>7.8300937499999987E-2</v>
      </c>
      <c r="Q9" s="26">
        <f>Q5*(Q6)*Q7</f>
        <v>0.13200679992500003</v>
      </c>
      <c r="R9" s="26">
        <f>R5*(R6)*R7</f>
        <v>0.18515239470000003</v>
      </c>
    </row>
    <row r="10" spans="1:18" x14ac:dyDescent="0.2">
      <c r="L10" s="24"/>
      <c r="M10" s="24"/>
      <c r="N10" s="24"/>
      <c r="P10" s="24"/>
      <c r="Q10" s="24"/>
      <c r="R10" s="24"/>
    </row>
    <row r="11" spans="1:18" x14ac:dyDescent="0.2">
      <c r="A11" s="1" t="s">
        <v>80</v>
      </c>
      <c r="L11" s="24"/>
      <c r="M11" s="24"/>
      <c r="N11" s="24"/>
      <c r="P11" s="24"/>
      <c r="Q11" s="24"/>
      <c r="R11" s="24"/>
    </row>
    <row r="12" spans="1:18" x14ac:dyDescent="0.2">
      <c r="A12" t="s">
        <v>81</v>
      </c>
      <c r="C12" t="s">
        <v>11</v>
      </c>
      <c r="D12">
        <f>D13*D14/100</f>
        <v>2</v>
      </c>
      <c r="E12">
        <f>E13*E14/100</f>
        <v>2</v>
      </c>
      <c r="F12">
        <f>F13*F14/100</f>
        <v>2</v>
      </c>
      <c r="H12">
        <f>H13*H14/100</f>
        <v>2</v>
      </c>
      <c r="I12">
        <f>I13*I14/100</f>
        <v>2</v>
      </c>
      <c r="J12">
        <f>J13*J14/100</f>
        <v>2</v>
      </c>
      <c r="L12" s="24">
        <f>L13*L14/100</f>
        <v>2</v>
      </c>
      <c r="M12" s="24">
        <f>M13*M14/100</f>
        <v>2</v>
      </c>
      <c r="N12" s="24">
        <f>N13*N14/100</f>
        <v>2</v>
      </c>
      <c r="P12" s="24">
        <f>P13*P14/100</f>
        <v>2</v>
      </c>
      <c r="Q12" s="24">
        <f>Q13*Q14/100</f>
        <v>2</v>
      </c>
      <c r="R12" s="24">
        <f>R13*R14/100</f>
        <v>2</v>
      </c>
    </row>
    <row r="13" spans="1:18" x14ac:dyDescent="0.2">
      <c r="A13" t="s">
        <v>82</v>
      </c>
      <c r="C13" t="s">
        <v>11</v>
      </c>
      <c r="D13">
        <v>25</v>
      </c>
      <c r="E13">
        <v>25</v>
      </c>
      <c r="F13">
        <v>25</v>
      </c>
      <c r="H13">
        <v>25</v>
      </c>
      <c r="I13">
        <v>25</v>
      </c>
      <c r="J13">
        <v>25</v>
      </c>
      <c r="L13" s="24">
        <v>25</v>
      </c>
      <c r="M13" s="24">
        <v>25</v>
      </c>
      <c r="N13" s="24">
        <v>25</v>
      </c>
      <c r="P13" s="24">
        <v>25</v>
      </c>
      <c r="Q13" s="24">
        <v>25</v>
      </c>
      <c r="R13" s="24">
        <v>25</v>
      </c>
    </row>
    <row r="14" spans="1:18" x14ac:dyDescent="0.2">
      <c r="A14" t="s">
        <v>83</v>
      </c>
      <c r="C14" t="s">
        <v>11</v>
      </c>
      <c r="D14">
        <v>8</v>
      </c>
      <c r="E14">
        <v>8</v>
      </c>
      <c r="F14">
        <v>8</v>
      </c>
      <c r="H14">
        <v>8</v>
      </c>
      <c r="I14">
        <v>8</v>
      </c>
      <c r="J14">
        <v>8</v>
      </c>
      <c r="L14" s="24">
        <v>8</v>
      </c>
      <c r="M14" s="24">
        <v>8</v>
      </c>
      <c r="N14" s="24">
        <v>8</v>
      </c>
      <c r="P14" s="24">
        <v>8</v>
      </c>
      <c r="Q14" s="24">
        <v>8</v>
      </c>
      <c r="R14" s="24">
        <v>8</v>
      </c>
    </row>
    <row r="15" spans="1:18" x14ac:dyDescent="0.2">
      <c r="L15" s="24"/>
      <c r="M15" s="24"/>
      <c r="N15" s="24"/>
      <c r="P15" s="24"/>
      <c r="Q15" s="24"/>
      <c r="R15" s="24"/>
    </row>
    <row r="16" spans="1:18" x14ac:dyDescent="0.2">
      <c r="A16" s="1" t="s">
        <v>84</v>
      </c>
      <c r="D16">
        <f>D9/(D12/100)</f>
        <v>10.085999999999997</v>
      </c>
      <c r="E16">
        <f>E9/(E12/100)</f>
        <v>7.2851625000000002</v>
      </c>
      <c r="F16">
        <f>F9/(F12/100)</f>
        <v>8.2804265407499997</v>
      </c>
      <c r="H16">
        <f>H9/(H12/100)</f>
        <v>3.7716228550000008</v>
      </c>
      <c r="I16">
        <f>I9/(I12/100)</f>
        <v>6.6003399962500016</v>
      </c>
      <c r="J16">
        <f>J9/(J12/100)</f>
        <v>8.4861514237500018</v>
      </c>
      <c r="L16" s="24">
        <f>L9/(L12/100)</f>
        <v>3.9424000000000019</v>
      </c>
      <c r="M16" s="24">
        <f>M9/(M12/100)</f>
        <v>6.6003399962500016</v>
      </c>
      <c r="N16" s="24">
        <f>N9/(N12/100)</f>
        <v>8.5209432962499996</v>
      </c>
      <c r="P16" s="24">
        <f>P9/(P12/100)</f>
        <v>3.9150468749999994</v>
      </c>
      <c r="Q16" s="24">
        <f>Q9/(Q12/100)</f>
        <v>6.6003399962500016</v>
      </c>
      <c r="R16" s="24">
        <f>R9/(R12/100)</f>
        <v>9.2576197350000005</v>
      </c>
    </row>
  </sheetData>
  <pageMargins left="0.75" right="0.75" top="1" bottom="1" header="0.5" footer="0.5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CC52-8893-E14E-8E0C-574D926944E1}">
  <dimension ref="A1:E16"/>
  <sheetViews>
    <sheetView workbookViewId="0">
      <selection activeCell="E26" sqref="E26:F26"/>
    </sheetView>
  </sheetViews>
  <sheetFormatPr baseColWidth="10" defaultRowHeight="16" x14ac:dyDescent="0.2"/>
  <cols>
    <col min="3" max="3" width="13.6640625" customWidth="1"/>
    <col min="4" max="4" width="12.1640625" bestFit="1" customWidth="1"/>
  </cols>
  <sheetData>
    <row r="1" spans="1:5" x14ac:dyDescent="0.2">
      <c r="A1" t="s">
        <v>179</v>
      </c>
      <c r="B1" t="s">
        <v>1114</v>
      </c>
      <c r="C1" t="s">
        <v>1115</v>
      </c>
      <c r="D1" t="s">
        <v>1116</v>
      </c>
      <c r="E1" t="s">
        <v>1113</v>
      </c>
    </row>
    <row r="2" spans="1:5" x14ac:dyDescent="0.2">
      <c r="A2">
        <v>1</v>
      </c>
      <c r="B2">
        <f t="shared" ref="B2:B16" si="0">SQRT((2.3548*$A2)^2+1.85^2)</f>
        <v>2.9945922994624827</v>
      </c>
      <c r="C2">
        <f>(B2/2)*(PI()/(180*3600))</f>
        <v>7.2590965806233811E-6</v>
      </c>
      <c r="D2">
        <f t="shared" ref="D2:D5" si="1">0.000013*100/C2</f>
        <v>179.08564592873364</v>
      </c>
      <c r="E2">
        <f>D2/8.55</f>
        <v>20.945689582308027</v>
      </c>
    </row>
    <row r="3" spans="1:5" x14ac:dyDescent="0.2">
      <c r="A3">
        <v>2</v>
      </c>
      <c r="B3">
        <f t="shared" si="0"/>
        <v>5.0599241259133523</v>
      </c>
      <c r="C3">
        <f t="shared" ref="C3:C16" si="2">(B3/2)*(PI()/(180*3600))</f>
        <v>1.2265602208095018E-5</v>
      </c>
      <c r="D3">
        <f t="shared" si="1"/>
        <v>105.98745809170541</v>
      </c>
      <c r="E3">
        <f t="shared" ref="E3:E16" si="3">D3/8.55</f>
        <v>12.396193928854432</v>
      </c>
    </row>
    <row r="4" spans="1:5" x14ac:dyDescent="0.2">
      <c r="A4">
        <v>3</v>
      </c>
      <c r="B4">
        <f t="shared" si="0"/>
        <v>7.3026192123100602</v>
      </c>
      <c r="C4">
        <f t="shared" si="2"/>
        <v>1.7702048510306301E-5</v>
      </c>
      <c r="D4">
        <f t="shared" si="1"/>
        <v>73.437828353205987</v>
      </c>
      <c r="E4">
        <f t="shared" si="3"/>
        <v>8.5892196904334472</v>
      </c>
    </row>
    <row r="5" spans="1:5" x14ac:dyDescent="0.2">
      <c r="A5">
        <v>4</v>
      </c>
      <c r="B5">
        <f t="shared" si="0"/>
        <v>9.5991577047155552</v>
      </c>
      <c r="C5">
        <f t="shared" si="2"/>
        <v>2.3269014911870563E-5</v>
      </c>
      <c r="D5">
        <f t="shared" si="1"/>
        <v>55.868286858023019</v>
      </c>
      <c r="E5">
        <f t="shared" si="3"/>
        <v>6.5343025564939197</v>
      </c>
    </row>
    <row r="6" spans="1:5" x14ac:dyDescent="0.2">
      <c r="A6">
        <v>5</v>
      </c>
      <c r="B6">
        <f t="shared" si="0"/>
        <v>11.918455269035498</v>
      </c>
      <c r="C6">
        <f t="shared" si="2"/>
        <v>2.8891150860602224E-5</v>
      </c>
      <c r="D6">
        <f>0.000013*100/C6</f>
        <v>44.996476819923465</v>
      </c>
      <c r="E6">
        <f t="shared" si="3"/>
        <v>5.2627458268916332</v>
      </c>
    </row>
    <row r="7" spans="1:5" x14ac:dyDescent="0.2">
      <c r="A7">
        <v>6</v>
      </c>
      <c r="B7">
        <f t="shared" si="0"/>
        <v>14.249403125745303</v>
      </c>
      <c r="C7">
        <f t="shared" si="2"/>
        <v>3.4541527915031541E-5</v>
      </c>
      <c r="D7">
        <f t="shared" ref="D7:D16" si="4">0.000013*100/C7</f>
        <v>37.635856850277747</v>
      </c>
      <c r="E7">
        <f t="shared" si="3"/>
        <v>4.4018546023716656</v>
      </c>
    </row>
    <row r="8" spans="1:5" x14ac:dyDescent="0.2">
      <c r="A8">
        <v>7</v>
      </c>
      <c r="B8">
        <f t="shared" si="0"/>
        <v>16.587090430813959</v>
      </c>
      <c r="C8">
        <f t="shared" si="2"/>
        <v>4.0208241853298373E-5</v>
      </c>
      <c r="D8">
        <f t="shared" si="4"/>
        <v>32.331679777074314</v>
      </c>
      <c r="E8">
        <f t="shared" si="3"/>
        <v>3.7814830148624927</v>
      </c>
    </row>
    <row r="9" spans="1:5" x14ac:dyDescent="0.2">
      <c r="A9">
        <v>8</v>
      </c>
      <c r="B9">
        <f t="shared" si="0"/>
        <v>18.929020433186711</v>
      </c>
      <c r="C9">
        <f t="shared" si="2"/>
        <v>4.5885240380054361E-5</v>
      </c>
      <c r="D9">
        <f t="shared" si="4"/>
        <v>28.331550390331852</v>
      </c>
      <c r="E9">
        <f t="shared" si="3"/>
        <v>3.3136316246002164</v>
      </c>
    </row>
    <row r="10" spans="1:5" x14ac:dyDescent="0.2">
      <c r="A10">
        <v>9</v>
      </c>
      <c r="B10">
        <f t="shared" si="0"/>
        <v>21.273792004247856</v>
      </c>
      <c r="C10">
        <f t="shared" si="2"/>
        <v>5.1569127063690082E-5</v>
      </c>
      <c r="D10">
        <f t="shared" si="4"/>
        <v>25.208881243897036</v>
      </c>
      <c r="E10">
        <f t="shared" si="3"/>
        <v>2.9484071630288926</v>
      </c>
    </row>
    <row r="11" spans="1:5" x14ac:dyDescent="0.2">
      <c r="A11">
        <v>10</v>
      </c>
      <c r="B11">
        <f t="shared" si="0"/>
        <v>23.620558926494521</v>
      </c>
      <c r="C11">
        <f t="shared" si="2"/>
        <v>5.7257850615092595E-5</v>
      </c>
      <c r="D11">
        <f t="shared" si="4"/>
        <v>22.704310169430862</v>
      </c>
      <c r="E11">
        <f t="shared" si="3"/>
        <v>2.6554748736176443</v>
      </c>
    </row>
    <row r="12" spans="1:5" x14ac:dyDescent="0.2">
      <c r="A12">
        <v>11</v>
      </c>
      <c r="B12">
        <f t="shared" si="0"/>
        <v>25.968780253219439</v>
      </c>
      <c r="C12">
        <f t="shared" si="2"/>
        <v>6.2950099742439716E-5</v>
      </c>
      <c r="D12">
        <f t="shared" si="4"/>
        <v>20.651277842591973</v>
      </c>
      <c r="E12">
        <f t="shared" si="3"/>
        <v>2.4153541336364879</v>
      </c>
    </row>
    <row r="13" spans="1:5" x14ac:dyDescent="0.2">
      <c r="A13">
        <v>12</v>
      </c>
      <c r="B13">
        <f t="shared" si="0"/>
        <v>28.318094175985784</v>
      </c>
      <c r="C13">
        <f t="shared" si="2"/>
        <v>6.8644997397330907E-5</v>
      </c>
      <c r="D13">
        <f t="shared" si="4"/>
        <v>18.938015140059534</v>
      </c>
      <c r="E13">
        <f t="shared" si="3"/>
        <v>2.214972531001115</v>
      </c>
    </row>
    <row r="14" spans="1:5" x14ac:dyDescent="0.2">
      <c r="A14">
        <v>13</v>
      </c>
      <c r="B14">
        <f t="shared" si="0"/>
        <v>30.668249603784044</v>
      </c>
      <c r="C14">
        <f t="shared" si="2"/>
        <v>7.434193491798305E-5</v>
      </c>
      <c r="D14">
        <f t="shared" si="4"/>
        <v>17.486765732344889</v>
      </c>
      <c r="E14">
        <f t="shared" si="3"/>
        <v>2.0452357581689928</v>
      </c>
    </row>
    <row r="15" spans="1:5" x14ac:dyDescent="0.2">
      <c r="A15">
        <v>14</v>
      </c>
      <c r="B15">
        <f t="shared" si="0"/>
        <v>33.019066852956335</v>
      </c>
      <c r="C15">
        <f t="shared" si="2"/>
        <v>8.0040476738918117E-5</v>
      </c>
      <c r="D15">
        <f t="shared" si="4"/>
        <v>16.241782320218245</v>
      </c>
      <c r="E15">
        <f t="shared" si="3"/>
        <v>1.8996236631834205</v>
      </c>
    </row>
    <row r="16" spans="1:5" x14ac:dyDescent="0.2">
      <c r="A16">
        <v>15</v>
      </c>
      <c r="B16">
        <f t="shared" si="0"/>
        <v>35.370413964215913</v>
      </c>
      <c r="C16">
        <f t="shared" si="2"/>
        <v>8.5740302981798263E-5</v>
      </c>
      <c r="D16">
        <f t="shared" si="4"/>
        <v>15.162064452652748</v>
      </c>
      <c r="E16">
        <f t="shared" si="3"/>
        <v>1.7733408716552921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Change Log</vt:lpstr>
      <vt:lpstr>Photometric Model Allocations</vt:lpstr>
      <vt:lpstr>ETC First Principles</vt:lpstr>
      <vt:lpstr>Comparison Conservative-Aggresi</vt:lpstr>
      <vt:lpstr>Photograph</vt:lpstr>
      <vt:lpstr>Arbitrary Wavelength</vt:lpstr>
      <vt:lpstr>Templates</vt:lpstr>
      <vt:lpstr>Filter JPL 7-layer Aggressive 2</vt:lpstr>
      <vt:lpstr>Filter JPL 7-layer Conservative</vt:lpstr>
      <vt:lpstr>Filter Materion 280 20160217</vt:lpstr>
      <vt:lpstr>Detector 2017 01 24_v2</vt:lpstr>
      <vt:lpstr>Budgets</vt:lpstr>
      <vt:lpstr>Throughput</vt:lpstr>
      <vt:lpstr>Jitter vs. f#</vt:lpstr>
      <vt:lpstr>delta_lam</vt:lpstr>
      <vt:lpstr>Eff_diam</vt:lpstr>
      <vt:lpstr>Jit</vt:lpstr>
      <vt:lpstr>Jitter</vt:lpstr>
      <vt:lpstr>Jitter_jump_per_psf</vt:lpstr>
      <vt:lpstr>RN</vt:lpstr>
    </vt:vector>
  </TitlesOfParts>
  <Company>Caltech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Ardila</dc:creator>
  <cp:lastModifiedBy>David Ardila</cp:lastModifiedBy>
  <dcterms:created xsi:type="dcterms:W3CDTF">2016-01-11T23:22:21Z</dcterms:created>
  <dcterms:modified xsi:type="dcterms:W3CDTF">2018-10-13T22:56:11Z</dcterms:modified>
</cp:coreProperties>
</file>